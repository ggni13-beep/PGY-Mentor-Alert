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gni1\OneDrive\桌面\教學儀表板\導師提醒\"/>
    </mc:Choice>
  </mc:AlternateContent>
  <xr:revisionPtr revIDLastSave="0" documentId="13_ncr:1_{EAEC5CF2-F40A-4E83-952C-6D7ED0510849}" xr6:coauthVersionLast="47" xr6:coauthVersionMax="47" xr10:uidLastSave="{00000000-0000-0000-0000-000000000000}"/>
  <bookViews>
    <workbookView xWindow="-120" yWindow="-120" windowWidth="24240" windowHeight="13740" activeTab="2" xr2:uid="{00000000-000D-0000-FFFF-FFFF00000000}"/>
  </bookViews>
  <sheets>
    <sheet name="00_INDEX" sheetId="1" r:id="rId1"/>
    <sheet name="BLANK_TEMPLATE" sheetId="2" r:id="rId2"/>
    <sheet name="RT001_林書暄" sheetId="3" r:id="rId3"/>
    <sheet name="RT002_李佳芸" sheetId="4" r:id="rId4"/>
    <sheet name="RT003_陳心怡" sheetId="5" r:id="rId5"/>
    <sheet name="RT004_謝筑元" sheetId="6" r:id="rId6"/>
    <sheet name="RT005_葉家程" sheetId="7" r:id="rId7"/>
    <sheet name="RT006_葉泓昇" sheetId="8" r:id="rId8"/>
  </sheets>
  <definedNames>
    <definedName name="_xlnm._FilterDatabase" localSheetId="0" hidden="1">'00_INDEX'!$A$3:$F$9</definedName>
    <definedName name="_xlnm._FilterDatabase" localSheetId="1" hidden="1">BLANK_TEMPLATE!$A$5:$AB$37</definedName>
    <definedName name="_xlnm._FilterDatabase" localSheetId="2" hidden="1">RT001_林書暄!$A$5:$AB$37</definedName>
    <definedName name="_xlnm._FilterDatabase" localSheetId="3" hidden="1">RT002_李佳芸!$A$5:$AB$37</definedName>
    <definedName name="_xlnm._FilterDatabase" localSheetId="4" hidden="1">RT003_陳心怡!$A$5:$AB$37</definedName>
    <definedName name="_xlnm._FilterDatabase" localSheetId="5" hidden="1">RT004_謝筑元!$A$5:$AB$37</definedName>
    <definedName name="_xlnm._FilterDatabase" localSheetId="6" hidden="1">RT005_葉家程!$A$5:$AB$37</definedName>
    <definedName name="_xlnm._FilterDatabase" localSheetId="7" hidden="1">RT006_葉泓昇!$A$5:$AB$37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39" i="8" l="1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AB37" i="8"/>
  <c r="AB36" i="8"/>
  <c r="AB35" i="8"/>
  <c r="AB34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AB8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N3" i="8"/>
  <c r="K3" i="8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AB37" i="7"/>
  <c r="AB36" i="7"/>
  <c r="AB35" i="7"/>
  <c r="AB34" i="7"/>
  <c r="AB33" i="7"/>
  <c r="AB32" i="7"/>
  <c r="AB31" i="7"/>
  <c r="AB30" i="7"/>
  <c r="AB29" i="7"/>
  <c r="AB28" i="7"/>
  <c r="AB27" i="7"/>
  <c r="AB26" i="7"/>
  <c r="AB25" i="7"/>
  <c r="AB24" i="7"/>
  <c r="AB23" i="7"/>
  <c r="AB22" i="7"/>
  <c r="AB21" i="7"/>
  <c r="AB20" i="7"/>
  <c r="AB19" i="7"/>
  <c r="AB18" i="7"/>
  <c r="AB17" i="7"/>
  <c r="AB16" i="7"/>
  <c r="AB15" i="7"/>
  <c r="AB14" i="7"/>
  <c r="AB13" i="7"/>
  <c r="AB12" i="7"/>
  <c r="AB11" i="7"/>
  <c r="AB10" i="7"/>
  <c r="AB9" i="7"/>
  <c r="AB8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N3" i="7"/>
  <c r="K3" i="7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AB37" i="6"/>
  <c r="AB36" i="6"/>
  <c r="AB35" i="6"/>
  <c r="AB34" i="6"/>
  <c r="AB33" i="6"/>
  <c r="AB32" i="6"/>
  <c r="AB31" i="6"/>
  <c r="AB30" i="6"/>
  <c r="AB29" i="6"/>
  <c r="AB28" i="6"/>
  <c r="AB27" i="6"/>
  <c r="AB26" i="6"/>
  <c r="AB25" i="6"/>
  <c r="AB24" i="6"/>
  <c r="AB23" i="6"/>
  <c r="AB22" i="6"/>
  <c r="AB21" i="6"/>
  <c r="AB20" i="6"/>
  <c r="AB19" i="6"/>
  <c r="AB18" i="6"/>
  <c r="AB17" i="6"/>
  <c r="AB16" i="6"/>
  <c r="AB15" i="6"/>
  <c r="AB14" i="6"/>
  <c r="AB13" i="6"/>
  <c r="AB12" i="6"/>
  <c r="AB11" i="6"/>
  <c r="AB10" i="6"/>
  <c r="AB9" i="6"/>
  <c r="AB8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N3" i="6"/>
  <c r="K3" i="6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AB37" i="5"/>
  <c r="AB36" i="5"/>
  <c r="AB35" i="5"/>
  <c r="AB34" i="5"/>
  <c r="AB33" i="5"/>
  <c r="AB32" i="5"/>
  <c r="AB31" i="5"/>
  <c r="AB30" i="5"/>
  <c r="AB29" i="5"/>
  <c r="AB28" i="5"/>
  <c r="AB27" i="5"/>
  <c r="AB26" i="5"/>
  <c r="AB25" i="5"/>
  <c r="AB24" i="5"/>
  <c r="AB23" i="5"/>
  <c r="AB22" i="5"/>
  <c r="AB21" i="5"/>
  <c r="AB20" i="5"/>
  <c r="AB19" i="5"/>
  <c r="AB18" i="5"/>
  <c r="AB17" i="5"/>
  <c r="AB16" i="5"/>
  <c r="AB15" i="5"/>
  <c r="AB14" i="5"/>
  <c r="AB13" i="5"/>
  <c r="AB12" i="5"/>
  <c r="AB11" i="5"/>
  <c r="AB10" i="5"/>
  <c r="AB9" i="5"/>
  <c r="AB8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N3" i="5"/>
  <c r="K3" i="5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AB37" i="4"/>
  <c r="AB36" i="4"/>
  <c r="AB35" i="4"/>
  <c r="AB34" i="4"/>
  <c r="AB33" i="4"/>
  <c r="AB32" i="4"/>
  <c r="AB31" i="4"/>
  <c r="AB30" i="4"/>
  <c r="AB29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3" i="4"/>
  <c r="AB12" i="4"/>
  <c r="AB11" i="4"/>
  <c r="AB10" i="4"/>
  <c r="AB9" i="4"/>
  <c r="AB8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N3" i="4"/>
  <c r="K3" i="4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N3" i="3"/>
  <c r="K3" i="3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N3" i="2"/>
  <c r="K3" i="2"/>
</calcChain>
</file>

<file path=xl/sharedStrings.xml><?xml version="1.0" encoding="utf-8"?>
<sst xmlns="http://schemas.openxmlformats.org/spreadsheetml/2006/main" count="2750" uniqueCount="117">
  <si>
    <t>PGY Learning Journey｜分頁索引</t>
  </si>
  <si>
    <t>PGY編號</t>
  </si>
  <si>
    <t>姓名</t>
  </si>
  <si>
    <t>到職日</t>
  </si>
  <si>
    <t>分頁</t>
  </si>
  <si>
    <t>用途</t>
  </si>
  <si>
    <t>狀態</t>
  </si>
  <si>
    <t>RT001</t>
  </si>
  <si>
    <t>林書暄</t>
  </si>
  <si>
    <t>RT001_林書暄</t>
  </si>
  <si>
    <t>個人24M Learning Journey</t>
  </si>
  <si>
    <t>目前學員</t>
  </si>
  <si>
    <t>RT002</t>
  </si>
  <si>
    <t>李佳芸</t>
  </si>
  <si>
    <t>RT002_李佳芸</t>
  </si>
  <si>
    <t>RT003</t>
  </si>
  <si>
    <t>陳心怡</t>
  </si>
  <si>
    <t>RT003_陳心怡</t>
  </si>
  <si>
    <t>RT004</t>
  </si>
  <si>
    <t>謝筑元</t>
  </si>
  <si>
    <t>RT004_謝筑元</t>
  </si>
  <si>
    <t>RT005</t>
  </si>
  <si>
    <t>葉家程</t>
  </si>
  <si>
    <t>RT005_葉家程</t>
  </si>
  <si>
    <t>RT006</t>
  </si>
  <si>
    <t>葉泓昇</t>
  </si>
  <si>
    <t>RT006_葉泓昇</t>
  </si>
  <si>
    <t>BLANK_TEMPLATE</t>
  </si>
  <si>
    <t>空白模板</t>
  </si>
  <si>
    <t>複製後可新增PGY</t>
  </si>
  <si>
    <t>設計原則</t>
  </si>
  <si>
    <t>每一位PGY一個分頁；到職日是唯一時間基準，M01–M24與每項學習／評核的對應日期自動計算。</t>
  </si>
  <si>
    <t>這張表是 Learning Journey／工程進度表；完整 EPA、Mini-CEX、CBD、CCC內容可留在 Teaching Dashboard。</t>
  </si>
  <si>
    <t>PGY 24M Learning Journey｜工程進度表</t>
  </si>
  <si>
    <t>學員姓名</t>
  </si>
  <si>
    <t>預計結訓日</t>
  </si>
  <si>
    <t>目前PGY Month</t>
  </si>
  <si>
    <t>學習／評核項目</t>
  </si>
  <si>
    <t>類別</t>
  </si>
  <si>
    <t>計畫時間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</si>
  <si>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</si>
  <si>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</si>
  <si>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</si>
  <si>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</si>
  <si>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</si>
  <si>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</si>
  <si>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</si>
  <si>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</si>
  <si>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</si>
  <si>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</si>
  <si>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</si>
  <si>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</si>
  <si>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</si>
  <si>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</si>
  <si>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</si>
  <si>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</si>
  <si>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</si>
  <si>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</si>
  <si>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</si>
  <si>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</si>
  <si>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</si>
  <si>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</si>
  <si>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</si>
  <si>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</si>
  <si>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完成率</t>
  </si>
  <si>
    <t>對應日期</t>
  </si>
  <si>
    <t>到職日起算</t>
  </si>
  <si>
    <t>基本氧氣治療與溼氣噴霧治療</t>
  </si>
  <si>
    <t>基礎課程</t>
  </si>
  <si>
    <t>M01–03</t>
  </si>
  <si>
    <t>☐</t>
  </si>
  <si>
    <t>低血氧／高二氧化碳／ABG</t>
  </si>
  <si>
    <t>Auto-PEEP及處置</t>
  </si>
  <si>
    <t>身體評估</t>
  </si>
  <si>
    <t>呼吸照護登入系統（VPN）</t>
  </si>
  <si>
    <t>0–3個月技術考</t>
  </si>
  <si>
    <t>技術評核</t>
  </si>
  <si>
    <t>臨床成人呼吸生理學</t>
  </si>
  <si>
    <t>專業課程</t>
  </si>
  <si>
    <t>M04–12</t>
  </si>
  <si>
    <t>胸腔常見疾病介紹</t>
  </si>
  <si>
    <t>小兒氣道照護</t>
  </si>
  <si>
    <t>呼吸器分類／操作／脫離（含ATC）</t>
  </si>
  <si>
    <t>健保相關事宜</t>
  </si>
  <si>
    <t>4–12個月技術評核</t>
  </si>
  <si>
    <t>手術前後呼吸照護</t>
  </si>
  <si>
    <t>M13–24</t>
  </si>
  <si>
    <t>COPD呼吸照護</t>
  </si>
  <si>
    <t>ARDS呼吸照護</t>
  </si>
  <si>
    <t>VAP呼吸照護</t>
  </si>
  <si>
    <t>呼吸功能改善</t>
  </si>
  <si>
    <t>HFOV臨床應用</t>
  </si>
  <si>
    <t>iNO臨床應用</t>
  </si>
  <si>
    <t>Prone Position Ventilation</t>
  </si>
  <si>
    <t>Lung Recruitment Management</t>
  </si>
  <si>
    <t>13–24個月技術評核</t>
  </si>
  <si>
    <t>Ad-hoc EPA</t>
  </si>
  <si>
    <t>EPA</t>
  </si>
  <si>
    <t>每2–3個月</t>
  </si>
  <si>
    <t>Mini-CEX</t>
  </si>
  <si>
    <t>評核</t>
  </si>
  <si>
    <t>每3個月</t>
  </si>
  <si>
    <t>CBD／PBD</t>
  </si>
  <si>
    <t>IPD／360°</t>
  </si>
  <si>
    <t>CCC能力進度檢視</t>
  </si>
  <si>
    <t>CCC</t>
  </si>
  <si>
    <t>依院內CCC節點</t>
  </si>
  <si>
    <t>每月導師面談</t>
  </si>
  <si>
    <t>導師</t>
  </si>
  <si>
    <t>每月</t>
  </si>
  <si>
    <t>結訓前能力盤點</t>
  </si>
  <si>
    <t>Exit</t>
  </si>
  <si>
    <t>M22–24</t>
  </si>
  <si>
    <t>Final Assessment／結訓確認</t>
  </si>
  <si>
    <t>TODAY</t>
  </si>
  <si>
    <t>操作：先確認上方「PGY編號／學員姓名／到職日」。工程表中的 ○ 可直接改成 ✓；日期會依到職日自動計算。</t>
  </si>
  <si>
    <t>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</si>
</sst>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mm/dd"/>
  </numFmts>
  <fonts count="6" x14ac:knownFonts="1">
    <font>
      <sz val="11"/>
      <color theme="1"/>
      <name val="新細明體"/>
      <family val="2"/>
      <scheme val="minor"/>
    </font>
    <font>
      <b/>
      <sz val="20"/>
      <color rgb="FFFFFFFF"/>
      <name val="新細明體"/>
      <family val="1"/>
      <charset val="136"/>
    </font>
    <font>
      <b/>
      <sz val="11"/>
      <color rgb="FF17365D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b/>
      <sz val="11"/>
      <color rgb="FFC00000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0" xfId="0" applyFont="1" applyFill="1"/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76" fontId="0" fillId="0" borderId="0" xfId="0" applyNumberFormat="1"/>
    <xf numFmtId="176" fontId="0" fillId="3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4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77" fontId="0" fillId="4" borderId="1" xfId="0" applyNumberFormat="1" applyFill="1" applyBorder="1" applyAlignment="1">
      <alignment vertical="center" wrapText="1"/>
    </xf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5"/>
  <sheetViews>
    <sheetView showGridLines="0" zoomScale="90" workbookViewId="0">
      <pane ySplit="3" topLeftCell="A4" activePane="bottomLeft" state="frozen"/>
      <selection pane="bottomLeft" sqref="A1:F1"/>
    </sheetView>
  </sheetViews>
  <sheetFormatPr defaultRowHeight="15.75" x14ac:dyDescent="0.25"/>
  <cols>
    <col min="1" max="1" width="14" style="16" customWidth="1"/>
    <col min="2" max="2" width="18" style="16" customWidth="1"/>
    <col min="3" max="3" width="16" style="16" customWidth="1"/>
    <col min="4" max="27" width="14" style="16" customWidth="1"/>
  </cols>
  <sheetData>
    <row r="1" spans="1:14" ht="27.75" customHeight="1" x14ac:dyDescent="0.4">
      <c r="A1" s="30" t="s">
        <v>0</v>
      </c>
      <c r="B1" s="29"/>
      <c r="C1" s="29"/>
      <c r="D1" s="29"/>
      <c r="E1" s="29"/>
      <c r="F1" s="29"/>
    </row>
    <row r="3" spans="1:14" ht="24" customHeight="1" x14ac:dyDescent="0.25">
      <c r="A3" s="10" t="s">
        <v>1</v>
      </c>
      <c r="B3" s="11" t="s">
        <v>2</v>
      </c>
      <c r="C3" s="1" t="s">
        <v>3</v>
      </c>
      <c r="D3" s="10" t="s">
        <v>4</v>
      </c>
      <c r="E3" s="11" t="s">
        <v>5</v>
      </c>
      <c r="F3" s="1" t="s">
        <v>6</v>
      </c>
      <c r="G3" s="12"/>
      <c r="H3" s="13"/>
      <c r="J3" s="12"/>
      <c r="K3" s="13"/>
      <c r="M3" s="12"/>
      <c r="N3" s="13"/>
    </row>
    <row r="4" spans="1:14" x14ac:dyDescent="0.25">
      <c r="A4" t="s">
        <v>7</v>
      </c>
      <c r="B4" t="s">
        <v>8</v>
      </c>
      <c r="C4" s="23">
        <v>45607</v>
      </c>
      <c r="D4" t="s">
        <v>9</v>
      </c>
      <c r="E4" t="s">
        <v>10</v>
      </c>
      <c r="F4" t="s">
        <v>11</v>
      </c>
    </row>
    <row r="5" spans="1:14" x14ac:dyDescent="0.25">
      <c r="A5" t="s">
        <v>12</v>
      </c>
      <c r="B5" t="s">
        <v>13</v>
      </c>
      <c r="C5" s="23">
        <v>45642</v>
      </c>
      <c r="D5" t="s">
        <v>14</v>
      </c>
      <c r="E5" t="s">
        <v>10</v>
      </c>
      <c r="F5" t="s">
        <v>11</v>
      </c>
    </row>
    <row r="6" spans="1:14" x14ac:dyDescent="0.25">
      <c r="A6" t="s">
        <v>15</v>
      </c>
      <c r="B6" t="s">
        <v>16</v>
      </c>
      <c r="C6" s="23">
        <v>45966</v>
      </c>
      <c r="D6" t="s">
        <v>17</v>
      </c>
      <c r="E6" t="s">
        <v>10</v>
      </c>
      <c r="F6" t="s">
        <v>11</v>
      </c>
    </row>
    <row r="7" spans="1:14" x14ac:dyDescent="0.25">
      <c r="A7" t="s">
        <v>18</v>
      </c>
      <c r="B7" t="s">
        <v>19</v>
      </c>
      <c r="C7" s="23">
        <v>45981</v>
      </c>
      <c r="D7" t="s">
        <v>20</v>
      </c>
      <c r="E7" t="s">
        <v>10</v>
      </c>
      <c r="F7" t="s">
        <v>11</v>
      </c>
    </row>
    <row r="8" spans="1:14" x14ac:dyDescent="0.25">
      <c r="A8" t="s">
        <v>21</v>
      </c>
      <c r="B8" t="s">
        <v>22</v>
      </c>
      <c r="C8" s="23">
        <v>46083</v>
      </c>
      <c r="D8" t="s">
        <v>23</v>
      </c>
      <c r="E8" t="s">
        <v>10</v>
      </c>
      <c r="F8" t="s">
        <v>11</v>
      </c>
    </row>
    <row r="9" spans="1:14" x14ac:dyDescent="0.25">
      <c r="A9" t="s">
        <v>24</v>
      </c>
      <c r="B9" t="s">
        <v>25</v>
      </c>
      <c r="C9" s="23">
        <v>46181</v>
      </c>
      <c r="D9" t="s">
        <v>26</v>
      </c>
      <c r="E9" t="s">
        <v>10</v>
      </c>
      <c r="F9" t="s">
        <v>11</v>
      </c>
    </row>
    <row r="11" spans="1:14" x14ac:dyDescent="0.25">
      <c r="A11" t="s">
        <v>27</v>
      </c>
      <c r="B11" t="s">
        <v>28</v>
      </c>
      <c r="E11" t="s">
        <v>29</v>
      </c>
    </row>
    <row r="13" spans="1:14" x14ac:dyDescent="0.25">
      <c r="A13" s="17" t="s">
        <v>30</v>
      </c>
    </row>
    <row r="14" spans="1:14" x14ac:dyDescent="0.25">
      <c r="A14" s="29" t="s">
        <v>31</v>
      </c>
      <c r="B14" s="29"/>
      <c r="C14" s="29"/>
      <c r="D14" s="29"/>
      <c r="E14" s="29"/>
      <c r="F14" s="29"/>
    </row>
    <row r="15" spans="1:14" x14ac:dyDescent="0.25">
      <c r="A15" s="29" t="s">
        <v>32</v>
      </c>
      <c r="B15" s="29"/>
      <c r="C15" s="29"/>
      <c r="D15" s="29"/>
      <c r="E15" s="29"/>
      <c r="F15" s="29"/>
    </row>
  </sheetData>
  <autoFilter ref="A3:F9" xr:uid="{00000000-0009-0000-0000-000000000000}"/>
  <mergeCells count="3">
    <mergeCell ref="A14:F14"/>
    <mergeCell ref="A1:F1"/>
    <mergeCell ref="A15:F15"/>
  </mergeCells>
  <phoneticPr fontId="5" type="noConversion"/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41"/>
  <sheetViews>
    <sheetView showGridLines="0" zoomScale="40" zoomScaleNormal="40" workbookViewId="0">
      <pane xSplit="3" ySplit="7" topLeftCell="D8" activePane="bottomRight" state="frozen"/>
      <selection pane="topRight"/>
      <selection pane="bottomLeft"/>
      <selection pane="bottomRight" activeCell="AB5" sqref="AB5:AB39"/>
    </sheetView>
  </sheetViews>
  <sheetFormatPr defaultRowHeight="15.75" x14ac:dyDescent="0.25"/>
  <cols>
    <col min="1" max="1" width="34" style="16" customWidth="1"/>
    <col min="2" max="2" width="16" style="16" customWidth="1"/>
    <col min="3" max="3" width="22" style="16" customWidth="1"/>
    <col min="4" max="27" width="14" style="16" customWidth="1"/>
    <col min="28" max="28" width="12" style="16" customWidth="1"/>
  </cols>
  <sheetData>
    <row r="1" spans="1:29" ht="30" customHeight="1" x14ac:dyDescent="0.4">
      <c r="A1" s="31" t="s">
        <v>33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3" spans="1:29" ht="24" customHeight="1" x14ac:dyDescent="0.25">
      <c r="A3" s="14" t="s">
        <v>1</v>
      </c>
      <c r="B3" s="15"/>
      <c r="D3" s="14" t="s">
        <v>34</v>
      </c>
      <c r="E3" s="15"/>
      <c r="G3" s="14" t="s">
        <v>3</v>
      </c>
      <c r="H3" s="24"/>
      <c r="J3" s="14" t="s">
        <v>35</v>
      </c>
      <c r="K3" s="25" t="str">
        <f>IF(H3="","",EDATE(H3,24)-1)</f>
        <v/>
      </c>
      <c r="M3" s="14" t="s">
        <v>36</v>
      </c>
      <c r="N3" s="13" t="str">
        <f ca="1">IF(H3="","",MAX(1,DATEDIF(H3,TODAY(),"m")+1))</f>
        <v/>
      </c>
    </row>
    <row r="5" spans="1:29" x14ac:dyDescent="0.25">
      <c r="A5" s="2" t="s">
        <v>37</v>
      </c>
      <c r="B5" s="2" t="s">
        <v>38</v>
      </c>
      <c r="C5" s="2" t="s">
        <v>39</v>
      </c>
      <c r="D5" s="20" t="s">
        <v>40</v>
      </c>
      <c r="E5" s="20" t="s">
        <v>41</v>
      </c>
      <c r="F5" s="20" t="s">
        <v>42</v>
      </c>
      <c r="G5" s="20" t="s">
        <v>43</v>
      </c>
      <c r="H5" s="20" t="s">
        <v>44</v>
      </c>
      <c r="I5" s="20" t="s">
        <v>45</v>
      </c>
      <c r="J5" s="20" t="s">
        <v>46</v>
      </c>
      <c r="K5" s="20" t="s">
        <v>47</v>
      </c>
      <c r="L5" s="20" t="s">
        <v>48</v>
      </c>
      <c r="M5" s="20" t="s">
        <v>49</v>
      </c>
      <c r="N5" s="20" t="s">
        <v>50</v>
      </c>
      <c r="O5" s="20" t="s">
        <v>51</v>
      </c>
      <c r="P5" s="20" t="s">
        <v>52</v>
      </c>
      <c r="Q5" s="20" t="s">
        <v>53</v>
      </c>
      <c r="R5" s="20" t="s">
        <v>54</v>
      </c>
      <c r="S5" s="20" t="s">
        <v>55</v>
      </c>
      <c r="T5" s="20" t="s">
        <v>56</v>
      </c>
      <c r="U5" s="20" t="s">
        <v>57</v>
      </c>
      <c r="V5" s="20" t="s">
        <v>58</v>
      </c>
      <c r="W5" s="20" t="s">
        <v>59</v>
      </c>
      <c r="X5" s="20" t="s">
        <v>60</v>
      </c>
      <c r="Y5" s="20" t="s">
        <v>61</v>
      </c>
      <c r="Z5" s="20" t="s">
        <v>62</v>
      </c>
      <c r="AA5" s="20" t="s">
        <v>63</v>
      </c>
      <c r="AB5" s="20" t="s">
        <v>64</v>
      </c>
    </row>
    <row r="6" spans="1:29" x14ac:dyDescent="0.25">
      <c r="A6" s="3" t="s">
        <v>65</v>
      </c>
      <c r="B6" s="4"/>
      <c r="C6" s="4" t="s">
        <v>66</v>
      </c>
      <c r="D6" s="26" t="str">
        <f>IF($H$3="","",EDATE($H$3,0))</f>
        <v/>
      </c>
      <c r="E6" s="26" t="str">
        <f>IF($H$3="","",EDATE($H$3,1))</f>
        <v/>
      </c>
      <c r="F6" s="26" t="str">
        <f>IF($H$3="","",EDATE($H$3,2))</f>
        <v/>
      </c>
      <c r="G6" s="26" t="str">
        <f>IF($H$3="","",EDATE($H$3,3))</f>
        <v/>
      </c>
      <c r="H6" s="26" t="str">
        <f>IF($H$3="","",EDATE($H$3,4))</f>
        <v/>
      </c>
      <c r="I6" s="26" t="str">
        <f>IF($H$3="","",EDATE($H$3,5))</f>
        <v/>
      </c>
      <c r="J6" s="26" t="str">
        <f>IF($H$3="","",EDATE($H$3,6))</f>
        <v/>
      </c>
      <c r="K6" s="26" t="str">
        <f>IF($H$3="","",EDATE($H$3,7))</f>
        <v/>
      </c>
      <c r="L6" s="26" t="str">
        <f>IF($H$3="","",EDATE($H$3,8))</f>
        <v/>
      </c>
      <c r="M6" s="26" t="str">
        <f>IF($H$3="","",EDATE($H$3,9))</f>
        <v/>
      </c>
      <c r="N6" s="26" t="str">
        <f>IF($H$3="","",EDATE($H$3,10))</f>
        <v/>
      </c>
      <c r="O6" s="26" t="str">
        <f>IF($H$3="","",EDATE($H$3,11))</f>
        <v/>
      </c>
      <c r="P6" s="26" t="str">
        <f>IF($H$3="","",EDATE($H$3,12))</f>
        <v/>
      </c>
      <c r="Q6" s="26" t="str">
        <f>IF($H$3="","",EDATE($H$3,13))</f>
        <v/>
      </c>
      <c r="R6" s="26" t="str">
        <f>IF($H$3="","",EDATE($H$3,14))</f>
        <v/>
      </c>
      <c r="S6" s="26" t="str">
        <f>IF($H$3="","",EDATE($H$3,15))</f>
        <v/>
      </c>
      <c r="T6" s="26" t="str">
        <f>IF($H$3="","",EDATE($H$3,16))</f>
        <v/>
      </c>
      <c r="U6" s="26" t="str">
        <f>IF($H$3="","",EDATE($H$3,17))</f>
        <v/>
      </c>
      <c r="V6" s="26" t="str">
        <f>IF($H$3="","",EDATE($H$3,18))</f>
        <v/>
      </c>
      <c r="W6" s="26" t="str">
        <f>IF($H$3="","",EDATE($H$3,19))</f>
        <v/>
      </c>
      <c r="X6" s="26" t="str">
        <f>IF($H$3="","",EDATE($H$3,20))</f>
        <v/>
      </c>
      <c r="Y6" s="26" t="str">
        <f>IF($H$3="","",EDATE($H$3,21))</f>
        <v/>
      </c>
      <c r="Z6" s="26" t="str">
        <f>IF($H$3="","",EDATE($H$3,22))</f>
        <v/>
      </c>
      <c r="AA6" s="26" t="str">
        <f>IF($H$3="","",EDATE($H$3,23))</f>
        <v/>
      </c>
      <c r="AB6" s="21"/>
    </row>
    <row r="7" spans="1:29" x14ac:dyDescent="0.25">
      <c r="A7" s="4"/>
      <c r="B7" s="4"/>
      <c r="C7" s="4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9" x14ac:dyDescent="0.25">
      <c r="A8" s="5" t="s">
        <v>67</v>
      </c>
      <c r="B8" s="4" t="s">
        <v>68</v>
      </c>
      <c r="C8" s="4" t="s">
        <v>69</v>
      </c>
      <c r="D8" s="27" t="s">
        <v>70</v>
      </c>
      <c r="E8" s="27" t="s">
        <v>70</v>
      </c>
      <c r="F8" s="27" t="s">
        <v>70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2" t="str">
        <f t="shared" ref="AB8:AB37" si="0">IF(COUNTIF(D8:AA8,"○")+COUNTIF(D8:AA8,"✓")=0,"",COUNTIF(D8:AA8,"✓")/(COUNTIF(D8:AA8,"○")+COUNTIF(D8:AA8,"✓")))</f>
        <v/>
      </c>
    </row>
    <row r="9" spans="1:29" x14ac:dyDescent="0.25">
      <c r="A9" s="5" t="s">
        <v>71</v>
      </c>
      <c r="B9" s="4" t="s">
        <v>68</v>
      </c>
      <c r="C9" s="4" t="s">
        <v>69</v>
      </c>
      <c r="D9" s="27" t="s">
        <v>70</v>
      </c>
      <c r="E9" s="27" t="s">
        <v>70</v>
      </c>
      <c r="F9" s="27" t="s">
        <v>70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2" t="str">
        <f t="shared" si="0"/>
        <v/>
      </c>
    </row>
    <row r="10" spans="1:29" x14ac:dyDescent="0.25">
      <c r="A10" s="5" t="s">
        <v>72</v>
      </c>
      <c r="B10" s="4" t="s">
        <v>68</v>
      </c>
      <c r="C10" s="4" t="s">
        <v>69</v>
      </c>
      <c r="D10" s="27" t="s">
        <v>70</v>
      </c>
      <c r="E10" s="27" t="s">
        <v>70</v>
      </c>
      <c r="F10" s="27" t="s">
        <v>70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2" t="str">
        <f t="shared" si="0"/>
        <v/>
      </c>
    </row>
    <row r="11" spans="1:29" x14ac:dyDescent="0.25">
      <c r="A11" s="5" t="s">
        <v>73</v>
      </c>
      <c r="B11" s="4" t="s">
        <v>68</v>
      </c>
      <c r="C11" s="4" t="s">
        <v>69</v>
      </c>
      <c r="D11" s="27" t="s">
        <v>70</v>
      </c>
      <c r="E11" s="27" t="s">
        <v>70</v>
      </c>
      <c r="F11" s="27" t="s">
        <v>70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2" t="str">
        <f t="shared" si="0"/>
        <v/>
      </c>
    </row>
    <row r="12" spans="1:29" x14ac:dyDescent="0.25">
      <c r="A12" s="5" t="s">
        <v>74</v>
      </c>
      <c r="B12" s="4" t="s">
        <v>68</v>
      </c>
      <c r="C12" s="4" t="s">
        <v>69</v>
      </c>
      <c r="D12" s="27" t="s">
        <v>70</v>
      </c>
      <c r="E12" s="27" t="s">
        <v>70</v>
      </c>
      <c r="F12" s="27" t="s">
        <v>70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2" t="str">
        <f t="shared" si="0"/>
        <v/>
      </c>
    </row>
    <row r="13" spans="1:29" x14ac:dyDescent="0.25">
      <c r="A13" s="6" t="s">
        <v>75</v>
      </c>
      <c r="B13" s="4" t="s">
        <v>76</v>
      </c>
      <c r="C13" s="4" t="s">
        <v>69</v>
      </c>
      <c r="D13" s="27" t="s">
        <v>70</v>
      </c>
      <c r="E13" s="27" t="s">
        <v>70</v>
      </c>
      <c r="F13" s="27" t="s">
        <v>70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2" t="str">
        <f t="shared" si="0"/>
        <v/>
      </c>
    </row>
    <row r="14" spans="1:29" x14ac:dyDescent="0.25">
      <c r="A14" s="7" t="s">
        <v>77</v>
      </c>
      <c r="B14" s="4" t="s">
        <v>78</v>
      </c>
      <c r="C14" s="4" t="s">
        <v>79</v>
      </c>
      <c r="D14" s="21"/>
      <c r="E14" s="21"/>
      <c r="F14" s="21"/>
      <c r="G14" s="27" t="s">
        <v>70</v>
      </c>
      <c r="H14" s="27" t="s">
        <v>70</v>
      </c>
      <c r="I14" s="27" t="s">
        <v>70</v>
      </c>
      <c r="J14" s="27" t="s">
        <v>70</v>
      </c>
      <c r="K14" s="27" t="s">
        <v>70</v>
      </c>
      <c r="L14" s="27" t="s">
        <v>70</v>
      </c>
      <c r="M14" s="27" t="s">
        <v>70</v>
      </c>
      <c r="N14" s="27" t="s">
        <v>70</v>
      </c>
      <c r="O14" s="27" t="s">
        <v>70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2" t="str">
        <f t="shared" si="0"/>
        <v/>
      </c>
    </row>
    <row r="15" spans="1:29" x14ac:dyDescent="0.25">
      <c r="A15" s="7" t="s">
        <v>80</v>
      </c>
      <c r="B15" s="4" t="s">
        <v>78</v>
      </c>
      <c r="C15" s="4" t="s">
        <v>79</v>
      </c>
      <c r="D15" s="21"/>
      <c r="E15" s="21"/>
      <c r="F15" s="21"/>
      <c r="G15" s="27" t="s">
        <v>70</v>
      </c>
      <c r="H15" s="27" t="s">
        <v>70</v>
      </c>
      <c r="I15" s="27" t="s">
        <v>70</v>
      </c>
      <c r="J15" s="27" t="s">
        <v>70</v>
      </c>
      <c r="K15" s="27" t="s">
        <v>70</v>
      </c>
      <c r="L15" s="27" t="s">
        <v>70</v>
      </c>
      <c r="M15" s="27" t="s">
        <v>70</v>
      </c>
      <c r="N15" s="27" t="s">
        <v>70</v>
      </c>
      <c r="O15" s="27" t="s">
        <v>70</v>
      </c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2" t="str">
        <f t="shared" si="0"/>
        <v/>
      </c>
    </row>
    <row r="16" spans="1:29" x14ac:dyDescent="0.25">
      <c r="A16" s="7" t="s">
        <v>81</v>
      </c>
      <c r="B16" s="4" t="s">
        <v>78</v>
      </c>
      <c r="C16" s="4" t="s">
        <v>79</v>
      </c>
      <c r="D16" s="21"/>
      <c r="E16" s="21"/>
      <c r="F16" s="21"/>
      <c r="G16" s="27" t="s">
        <v>70</v>
      </c>
      <c r="H16" s="27" t="s">
        <v>70</v>
      </c>
      <c r="I16" s="27" t="s">
        <v>70</v>
      </c>
      <c r="J16" s="27" t="s">
        <v>70</v>
      </c>
      <c r="K16" s="27" t="s">
        <v>70</v>
      </c>
      <c r="L16" s="27" t="s">
        <v>70</v>
      </c>
      <c r="M16" s="27" t="s">
        <v>70</v>
      </c>
      <c r="N16" s="27" t="s">
        <v>70</v>
      </c>
      <c r="O16" s="27" t="s">
        <v>70</v>
      </c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2" t="str">
        <f t="shared" si="0"/>
        <v/>
      </c>
    </row>
    <row r="17" spans="1:28" ht="31.5" customHeight="1" x14ac:dyDescent="0.25">
      <c r="A17" s="7" t="s">
        <v>82</v>
      </c>
      <c r="B17" s="4" t="s">
        <v>78</v>
      </c>
      <c r="C17" s="4" t="s">
        <v>79</v>
      </c>
      <c r="D17" s="21"/>
      <c r="E17" s="21"/>
      <c r="F17" s="21"/>
      <c r="G17" s="27" t="s">
        <v>70</v>
      </c>
      <c r="H17" s="27" t="s">
        <v>70</v>
      </c>
      <c r="I17" s="27" t="s">
        <v>70</v>
      </c>
      <c r="J17" s="27" t="s">
        <v>70</v>
      </c>
      <c r="K17" s="27" t="s">
        <v>70</v>
      </c>
      <c r="L17" s="27" t="s">
        <v>70</v>
      </c>
      <c r="M17" s="27" t="s">
        <v>70</v>
      </c>
      <c r="N17" s="27" t="s">
        <v>70</v>
      </c>
      <c r="O17" s="27" t="s">
        <v>70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2" t="str">
        <f t="shared" si="0"/>
        <v/>
      </c>
    </row>
    <row r="18" spans="1:28" x14ac:dyDescent="0.25">
      <c r="A18" s="7" t="s">
        <v>83</v>
      </c>
      <c r="B18" s="4" t="s">
        <v>78</v>
      </c>
      <c r="C18" s="4" t="s">
        <v>79</v>
      </c>
      <c r="D18" s="21"/>
      <c r="E18" s="21"/>
      <c r="F18" s="21"/>
      <c r="G18" s="27" t="s">
        <v>70</v>
      </c>
      <c r="H18" s="27" t="s">
        <v>70</v>
      </c>
      <c r="I18" s="27" t="s">
        <v>70</v>
      </c>
      <c r="J18" s="27" t="s">
        <v>70</v>
      </c>
      <c r="K18" s="27" t="s">
        <v>70</v>
      </c>
      <c r="L18" s="27" t="s">
        <v>70</v>
      </c>
      <c r="M18" s="27" t="s">
        <v>70</v>
      </c>
      <c r="N18" s="27" t="s">
        <v>70</v>
      </c>
      <c r="O18" s="27" t="s">
        <v>70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2" t="str">
        <f t="shared" si="0"/>
        <v/>
      </c>
    </row>
    <row r="19" spans="1:28" x14ac:dyDescent="0.25">
      <c r="A19" s="6" t="s">
        <v>84</v>
      </c>
      <c r="B19" s="4" t="s">
        <v>76</v>
      </c>
      <c r="C19" s="4" t="s">
        <v>79</v>
      </c>
      <c r="D19" s="21"/>
      <c r="E19" s="21"/>
      <c r="F19" s="21"/>
      <c r="G19" s="27" t="s">
        <v>70</v>
      </c>
      <c r="H19" s="27" t="s">
        <v>70</v>
      </c>
      <c r="I19" s="27" t="s">
        <v>70</v>
      </c>
      <c r="J19" s="27" t="s">
        <v>70</v>
      </c>
      <c r="K19" s="27" t="s">
        <v>70</v>
      </c>
      <c r="L19" s="27" t="s">
        <v>70</v>
      </c>
      <c r="M19" s="27" t="s">
        <v>70</v>
      </c>
      <c r="N19" s="27" t="s">
        <v>70</v>
      </c>
      <c r="O19" s="27" t="s">
        <v>70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2" t="str">
        <f t="shared" si="0"/>
        <v/>
      </c>
    </row>
    <row r="20" spans="1:28" x14ac:dyDescent="0.25">
      <c r="A20" s="7" t="s">
        <v>85</v>
      </c>
      <c r="B20" s="4" t="s">
        <v>78</v>
      </c>
      <c r="C20" s="4" t="s">
        <v>86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7" t="s">
        <v>70</v>
      </c>
      <c r="Q20" s="27" t="s">
        <v>70</v>
      </c>
      <c r="R20" s="27" t="s">
        <v>70</v>
      </c>
      <c r="S20" s="27" t="s">
        <v>70</v>
      </c>
      <c r="T20" s="27" t="s">
        <v>70</v>
      </c>
      <c r="U20" s="27" t="s">
        <v>70</v>
      </c>
      <c r="V20" s="27" t="s">
        <v>70</v>
      </c>
      <c r="W20" s="27" t="s">
        <v>70</v>
      </c>
      <c r="X20" s="27" t="s">
        <v>70</v>
      </c>
      <c r="Y20" s="27" t="s">
        <v>70</v>
      </c>
      <c r="Z20" s="27" t="s">
        <v>70</v>
      </c>
      <c r="AA20" s="27" t="s">
        <v>70</v>
      </c>
      <c r="AB20" s="22" t="str">
        <f t="shared" si="0"/>
        <v/>
      </c>
    </row>
    <row r="21" spans="1:28" x14ac:dyDescent="0.25">
      <c r="A21" s="7" t="s">
        <v>87</v>
      </c>
      <c r="B21" s="4" t="s">
        <v>78</v>
      </c>
      <c r="C21" s="4" t="s">
        <v>86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7" t="s">
        <v>70</v>
      </c>
      <c r="Q21" s="27" t="s">
        <v>70</v>
      </c>
      <c r="R21" s="27" t="s">
        <v>70</v>
      </c>
      <c r="S21" s="27" t="s">
        <v>70</v>
      </c>
      <c r="T21" s="27" t="s">
        <v>70</v>
      </c>
      <c r="U21" s="27" t="s">
        <v>70</v>
      </c>
      <c r="V21" s="27" t="s">
        <v>70</v>
      </c>
      <c r="W21" s="27" t="s">
        <v>70</v>
      </c>
      <c r="X21" s="27" t="s">
        <v>70</v>
      </c>
      <c r="Y21" s="27" t="s">
        <v>70</v>
      </c>
      <c r="Z21" s="27" t="s">
        <v>70</v>
      </c>
      <c r="AA21" s="27" t="s">
        <v>70</v>
      </c>
      <c r="AB21" s="22" t="str">
        <f t="shared" si="0"/>
        <v/>
      </c>
    </row>
    <row r="22" spans="1:28" x14ac:dyDescent="0.25">
      <c r="A22" s="7" t="s">
        <v>88</v>
      </c>
      <c r="B22" s="4" t="s">
        <v>78</v>
      </c>
      <c r="C22" s="4" t="s">
        <v>86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7" t="s">
        <v>70</v>
      </c>
      <c r="Q22" s="27" t="s">
        <v>70</v>
      </c>
      <c r="R22" s="27" t="s">
        <v>70</v>
      </c>
      <c r="S22" s="27" t="s">
        <v>70</v>
      </c>
      <c r="T22" s="27" t="s">
        <v>70</v>
      </c>
      <c r="U22" s="27" t="s">
        <v>70</v>
      </c>
      <c r="V22" s="27" t="s">
        <v>70</v>
      </c>
      <c r="W22" s="27" t="s">
        <v>70</v>
      </c>
      <c r="X22" s="27" t="s">
        <v>70</v>
      </c>
      <c r="Y22" s="27" t="s">
        <v>70</v>
      </c>
      <c r="Z22" s="27" t="s">
        <v>70</v>
      </c>
      <c r="AA22" s="27" t="s">
        <v>70</v>
      </c>
      <c r="AB22" s="22" t="str">
        <f t="shared" si="0"/>
        <v/>
      </c>
    </row>
    <row r="23" spans="1:28" x14ac:dyDescent="0.25">
      <c r="A23" s="7" t="s">
        <v>89</v>
      </c>
      <c r="B23" s="4" t="s">
        <v>78</v>
      </c>
      <c r="C23" s="4" t="s">
        <v>86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7" t="s">
        <v>70</v>
      </c>
      <c r="Q23" s="27" t="s">
        <v>70</v>
      </c>
      <c r="R23" s="27" t="s">
        <v>70</v>
      </c>
      <c r="S23" s="27" t="s">
        <v>70</v>
      </c>
      <c r="T23" s="27" t="s">
        <v>70</v>
      </c>
      <c r="U23" s="27" t="s">
        <v>70</v>
      </c>
      <c r="V23" s="27" t="s">
        <v>70</v>
      </c>
      <c r="W23" s="27" t="s">
        <v>70</v>
      </c>
      <c r="X23" s="27" t="s">
        <v>70</v>
      </c>
      <c r="Y23" s="27" t="s">
        <v>70</v>
      </c>
      <c r="Z23" s="27" t="s">
        <v>70</v>
      </c>
      <c r="AA23" s="27" t="s">
        <v>70</v>
      </c>
      <c r="AB23" s="22" t="str">
        <f t="shared" si="0"/>
        <v/>
      </c>
    </row>
    <row r="24" spans="1:28" x14ac:dyDescent="0.25">
      <c r="A24" s="7" t="s">
        <v>90</v>
      </c>
      <c r="B24" s="4" t="s">
        <v>78</v>
      </c>
      <c r="C24" s="4" t="s">
        <v>86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7" t="s">
        <v>70</v>
      </c>
      <c r="Q24" s="27" t="s">
        <v>70</v>
      </c>
      <c r="R24" s="27" t="s">
        <v>70</v>
      </c>
      <c r="S24" s="27" t="s">
        <v>70</v>
      </c>
      <c r="T24" s="27" t="s">
        <v>70</v>
      </c>
      <c r="U24" s="27" t="s">
        <v>70</v>
      </c>
      <c r="V24" s="27" t="s">
        <v>70</v>
      </c>
      <c r="W24" s="27" t="s">
        <v>70</v>
      </c>
      <c r="X24" s="27" t="s">
        <v>70</v>
      </c>
      <c r="Y24" s="27" t="s">
        <v>70</v>
      </c>
      <c r="Z24" s="27" t="s">
        <v>70</v>
      </c>
      <c r="AA24" s="27" t="s">
        <v>70</v>
      </c>
      <c r="AB24" s="22" t="str">
        <f t="shared" si="0"/>
        <v/>
      </c>
    </row>
    <row r="25" spans="1:28" x14ac:dyDescent="0.25">
      <c r="A25" s="7" t="s">
        <v>91</v>
      </c>
      <c r="B25" s="4" t="s">
        <v>78</v>
      </c>
      <c r="C25" s="4" t="s">
        <v>86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7" t="s">
        <v>70</v>
      </c>
      <c r="Q25" s="27" t="s">
        <v>70</v>
      </c>
      <c r="R25" s="27" t="s">
        <v>70</v>
      </c>
      <c r="S25" s="27" t="s">
        <v>70</v>
      </c>
      <c r="T25" s="27" t="s">
        <v>70</v>
      </c>
      <c r="U25" s="27" t="s">
        <v>70</v>
      </c>
      <c r="V25" s="27" t="s">
        <v>70</v>
      </c>
      <c r="W25" s="27" t="s">
        <v>70</v>
      </c>
      <c r="X25" s="27" t="s">
        <v>70</v>
      </c>
      <c r="Y25" s="27" t="s">
        <v>70</v>
      </c>
      <c r="Z25" s="27" t="s">
        <v>70</v>
      </c>
      <c r="AA25" s="27" t="s">
        <v>70</v>
      </c>
      <c r="AB25" s="22" t="str">
        <f t="shared" si="0"/>
        <v/>
      </c>
    </row>
    <row r="26" spans="1:28" x14ac:dyDescent="0.25">
      <c r="A26" s="7" t="s">
        <v>92</v>
      </c>
      <c r="B26" s="4" t="s">
        <v>78</v>
      </c>
      <c r="C26" s="4" t="s">
        <v>86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7" t="s">
        <v>70</v>
      </c>
      <c r="Q26" s="27" t="s">
        <v>70</v>
      </c>
      <c r="R26" s="27" t="s">
        <v>70</v>
      </c>
      <c r="S26" s="27" t="s">
        <v>70</v>
      </c>
      <c r="T26" s="27" t="s">
        <v>70</v>
      </c>
      <c r="U26" s="27" t="s">
        <v>70</v>
      </c>
      <c r="V26" s="27" t="s">
        <v>70</v>
      </c>
      <c r="W26" s="27" t="s">
        <v>70</v>
      </c>
      <c r="X26" s="27" t="s">
        <v>70</v>
      </c>
      <c r="Y26" s="27" t="s">
        <v>70</v>
      </c>
      <c r="Z26" s="27" t="s">
        <v>70</v>
      </c>
      <c r="AA26" s="27" t="s">
        <v>70</v>
      </c>
      <c r="AB26" s="22" t="str">
        <f t="shared" si="0"/>
        <v/>
      </c>
    </row>
    <row r="27" spans="1:28" x14ac:dyDescent="0.25">
      <c r="A27" s="7" t="s">
        <v>93</v>
      </c>
      <c r="B27" s="4" t="s">
        <v>78</v>
      </c>
      <c r="C27" s="4" t="s">
        <v>86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7" t="s">
        <v>70</v>
      </c>
      <c r="Q27" s="27" t="s">
        <v>70</v>
      </c>
      <c r="R27" s="27" t="s">
        <v>70</v>
      </c>
      <c r="S27" s="27" t="s">
        <v>70</v>
      </c>
      <c r="T27" s="27" t="s">
        <v>70</v>
      </c>
      <c r="U27" s="27" t="s">
        <v>70</v>
      </c>
      <c r="V27" s="27" t="s">
        <v>70</v>
      </c>
      <c r="W27" s="27" t="s">
        <v>70</v>
      </c>
      <c r="X27" s="27" t="s">
        <v>70</v>
      </c>
      <c r="Y27" s="27" t="s">
        <v>70</v>
      </c>
      <c r="Z27" s="27" t="s">
        <v>70</v>
      </c>
      <c r="AA27" s="27" t="s">
        <v>70</v>
      </c>
      <c r="AB27" s="22" t="str">
        <f t="shared" si="0"/>
        <v/>
      </c>
    </row>
    <row r="28" spans="1:28" x14ac:dyDescent="0.25">
      <c r="A28" s="7" t="s">
        <v>94</v>
      </c>
      <c r="B28" s="4" t="s">
        <v>78</v>
      </c>
      <c r="C28" s="4" t="s">
        <v>86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7" t="s">
        <v>70</v>
      </c>
      <c r="Q28" s="27" t="s">
        <v>70</v>
      </c>
      <c r="R28" s="27" t="s">
        <v>70</v>
      </c>
      <c r="S28" s="27" t="s">
        <v>70</v>
      </c>
      <c r="T28" s="27" t="s">
        <v>70</v>
      </c>
      <c r="U28" s="27" t="s">
        <v>70</v>
      </c>
      <c r="V28" s="27" t="s">
        <v>70</v>
      </c>
      <c r="W28" s="27" t="s">
        <v>70</v>
      </c>
      <c r="X28" s="27" t="s">
        <v>70</v>
      </c>
      <c r="Y28" s="27" t="s">
        <v>70</v>
      </c>
      <c r="Z28" s="27" t="s">
        <v>70</v>
      </c>
      <c r="AA28" s="27" t="s">
        <v>70</v>
      </c>
      <c r="AB28" s="22" t="str">
        <f t="shared" si="0"/>
        <v/>
      </c>
    </row>
    <row r="29" spans="1:28" x14ac:dyDescent="0.25">
      <c r="A29" s="6" t="s">
        <v>95</v>
      </c>
      <c r="B29" s="4" t="s">
        <v>76</v>
      </c>
      <c r="C29" s="4" t="s">
        <v>86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7" t="s">
        <v>70</v>
      </c>
      <c r="Q29" s="27" t="s">
        <v>70</v>
      </c>
      <c r="R29" s="27" t="s">
        <v>70</v>
      </c>
      <c r="S29" s="27" t="s">
        <v>70</v>
      </c>
      <c r="T29" s="27" t="s">
        <v>70</v>
      </c>
      <c r="U29" s="27" t="s">
        <v>70</v>
      </c>
      <c r="V29" s="27" t="s">
        <v>70</v>
      </c>
      <c r="W29" s="27" t="s">
        <v>70</v>
      </c>
      <c r="X29" s="27" t="s">
        <v>70</v>
      </c>
      <c r="Y29" s="27" t="s">
        <v>70</v>
      </c>
      <c r="Z29" s="27" t="s">
        <v>70</v>
      </c>
      <c r="AA29" s="27" t="s">
        <v>70</v>
      </c>
      <c r="AB29" s="22" t="str">
        <f t="shared" si="0"/>
        <v/>
      </c>
    </row>
    <row r="30" spans="1:28" x14ac:dyDescent="0.25">
      <c r="A30" s="8" t="s">
        <v>96</v>
      </c>
      <c r="B30" s="4" t="s">
        <v>97</v>
      </c>
      <c r="C30" s="4" t="s">
        <v>98</v>
      </c>
      <c r="D30" s="21"/>
      <c r="E30" s="21"/>
      <c r="F30" s="27" t="s">
        <v>70</v>
      </c>
      <c r="G30" s="21"/>
      <c r="H30" s="21"/>
      <c r="I30" s="27" t="s">
        <v>70</v>
      </c>
      <c r="J30" s="21"/>
      <c r="K30" s="21"/>
      <c r="L30" s="27" t="s">
        <v>70</v>
      </c>
      <c r="M30" s="21"/>
      <c r="N30" s="21"/>
      <c r="O30" s="27" t="s">
        <v>70</v>
      </c>
      <c r="P30" s="21"/>
      <c r="Q30" s="21"/>
      <c r="R30" s="27" t="s">
        <v>70</v>
      </c>
      <c r="S30" s="21"/>
      <c r="T30" s="21"/>
      <c r="U30" s="27" t="s">
        <v>70</v>
      </c>
      <c r="V30" s="21"/>
      <c r="W30" s="21"/>
      <c r="X30" s="27" t="s">
        <v>70</v>
      </c>
      <c r="Y30" s="21"/>
      <c r="Z30" s="21"/>
      <c r="AA30" s="27" t="s">
        <v>70</v>
      </c>
      <c r="AB30" s="22" t="str">
        <f t="shared" si="0"/>
        <v/>
      </c>
    </row>
    <row r="31" spans="1:28" x14ac:dyDescent="0.25">
      <c r="A31" s="8" t="s">
        <v>99</v>
      </c>
      <c r="B31" s="4" t="s">
        <v>100</v>
      </c>
      <c r="C31" s="4" t="s">
        <v>101</v>
      </c>
      <c r="D31" s="21"/>
      <c r="E31" s="21"/>
      <c r="F31" s="27" t="s">
        <v>70</v>
      </c>
      <c r="G31" s="21"/>
      <c r="H31" s="21"/>
      <c r="I31" s="27" t="s">
        <v>70</v>
      </c>
      <c r="J31" s="21"/>
      <c r="K31" s="21"/>
      <c r="L31" s="27" t="s">
        <v>70</v>
      </c>
      <c r="M31" s="21"/>
      <c r="N31" s="21"/>
      <c r="O31" s="27" t="s">
        <v>70</v>
      </c>
      <c r="P31" s="21"/>
      <c r="Q31" s="21"/>
      <c r="R31" s="27" t="s">
        <v>70</v>
      </c>
      <c r="S31" s="21"/>
      <c r="T31" s="21"/>
      <c r="U31" s="27" t="s">
        <v>70</v>
      </c>
      <c r="V31" s="21"/>
      <c r="W31" s="21"/>
      <c r="X31" s="27" t="s">
        <v>70</v>
      </c>
      <c r="Y31" s="21"/>
      <c r="Z31" s="21"/>
      <c r="AA31" s="27" t="s">
        <v>70</v>
      </c>
      <c r="AB31" s="22" t="str">
        <f t="shared" si="0"/>
        <v/>
      </c>
    </row>
    <row r="32" spans="1:28" x14ac:dyDescent="0.25">
      <c r="A32" s="8" t="s">
        <v>102</v>
      </c>
      <c r="B32" s="4" t="s">
        <v>100</v>
      </c>
      <c r="C32" s="4" t="s">
        <v>101</v>
      </c>
      <c r="D32" s="21"/>
      <c r="E32" s="21"/>
      <c r="F32" s="27" t="s">
        <v>70</v>
      </c>
      <c r="G32" s="21"/>
      <c r="H32" s="21"/>
      <c r="I32" s="27" t="s">
        <v>70</v>
      </c>
      <c r="J32" s="21"/>
      <c r="K32" s="21"/>
      <c r="L32" s="27" t="s">
        <v>70</v>
      </c>
      <c r="M32" s="21"/>
      <c r="N32" s="21"/>
      <c r="O32" s="27" t="s">
        <v>70</v>
      </c>
      <c r="P32" s="21"/>
      <c r="Q32" s="21"/>
      <c r="R32" s="27" t="s">
        <v>70</v>
      </c>
      <c r="S32" s="21"/>
      <c r="T32" s="21"/>
      <c r="U32" s="27" t="s">
        <v>70</v>
      </c>
      <c r="V32" s="21"/>
      <c r="W32" s="21"/>
      <c r="X32" s="27" t="s">
        <v>70</v>
      </c>
      <c r="Y32" s="21"/>
      <c r="Z32" s="21"/>
      <c r="AA32" s="27" t="s">
        <v>70</v>
      </c>
      <c r="AB32" s="22" t="str">
        <f t="shared" si="0"/>
        <v/>
      </c>
    </row>
    <row r="33" spans="1:28" x14ac:dyDescent="0.25">
      <c r="A33" s="8" t="s">
        <v>103</v>
      </c>
      <c r="B33" s="4" t="s">
        <v>100</v>
      </c>
      <c r="C33" s="4" t="s">
        <v>101</v>
      </c>
      <c r="D33" s="21"/>
      <c r="E33" s="21"/>
      <c r="F33" s="27" t="s">
        <v>70</v>
      </c>
      <c r="G33" s="21"/>
      <c r="H33" s="21"/>
      <c r="I33" s="27" t="s">
        <v>70</v>
      </c>
      <c r="J33" s="21"/>
      <c r="K33" s="21"/>
      <c r="L33" s="27" t="s">
        <v>70</v>
      </c>
      <c r="M33" s="21"/>
      <c r="N33" s="21"/>
      <c r="O33" s="27" t="s">
        <v>70</v>
      </c>
      <c r="P33" s="21"/>
      <c r="Q33" s="21"/>
      <c r="R33" s="27" t="s">
        <v>70</v>
      </c>
      <c r="S33" s="21"/>
      <c r="T33" s="21"/>
      <c r="U33" s="27" t="s">
        <v>70</v>
      </c>
      <c r="V33" s="21"/>
      <c r="W33" s="21"/>
      <c r="X33" s="27" t="s">
        <v>70</v>
      </c>
      <c r="Y33" s="21"/>
      <c r="Z33" s="21"/>
      <c r="AA33" s="27" t="s">
        <v>70</v>
      </c>
      <c r="AB33" s="22" t="str">
        <f t="shared" si="0"/>
        <v/>
      </c>
    </row>
    <row r="34" spans="1:28" x14ac:dyDescent="0.25">
      <c r="A34" s="8" t="s">
        <v>104</v>
      </c>
      <c r="B34" s="4" t="s">
        <v>105</v>
      </c>
      <c r="C34" s="4" t="s">
        <v>106</v>
      </c>
      <c r="D34" s="21"/>
      <c r="E34" s="21"/>
      <c r="F34" s="27" t="s">
        <v>70</v>
      </c>
      <c r="G34" s="21"/>
      <c r="H34" s="21"/>
      <c r="I34" s="27" t="s">
        <v>70</v>
      </c>
      <c r="J34" s="21"/>
      <c r="K34" s="21"/>
      <c r="L34" s="21"/>
      <c r="M34" s="21"/>
      <c r="N34" s="21"/>
      <c r="O34" s="27" t="s">
        <v>70</v>
      </c>
      <c r="P34" s="21"/>
      <c r="Q34" s="21"/>
      <c r="R34" s="21"/>
      <c r="S34" s="21"/>
      <c r="T34" s="21"/>
      <c r="U34" s="27" t="s">
        <v>70</v>
      </c>
      <c r="V34" s="21"/>
      <c r="W34" s="21"/>
      <c r="X34" s="21"/>
      <c r="Y34" s="21"/>
      <c r="Z34" s="21"/>
      <c r="AA34" s="27" t="s">
        <v>70</v>
      </c>
      <c r="AB34" s="22" t="str">
        <f t="shared" si="0"/>
        <v/>
      </c>
    </row>
    <row r="35" spans="1:28" x14ac:dyDescent="0.25">
      <c r="A35" s="6" t="s">
        <v>107</v>
      </c>
      <c r="B35" s="4" t="s">
        <v>108</v>
      </c>
      <c r="C35" s="4" t="s">
        <v>109</v>
      </c>
      <c r="D35" s="27" t="s">
        <v>70</v>
      </c>
      <c r="E35" s="27" t="s">
        <v>70</v>
      </c>
      <c r="F35" s="27" t="s">
        <v>70</v>
      </c>
      <c r="G35" s="27" t="s">
        <v>70</v>
      </c>
      <c r="H35" s="27" t="s">
        <v>70</v>
      </c>
      <c r="I35" s="27" t="s">
        <v>70</v>
      </c>
      <c r="J35" s="27" t="s">
        <v>70</v>
      </c>
      <c r="K35" s="27" t="s">
        <v>70</v>
      </c>
      <c r="L35" s="27" t="s">
        <v>70</v>
      </c>
      <c r="M35" s="27" t="s">
        <v>70</v>
      </c>
      <c r="N35" s="27" t="s">
        <v>70</v>
      </c>
      <c r="O35" s="27" t="s">
        <v>70</v>
      </c>
      <c r="P35" s="27" t="s">
        <v>70</v>
      </c>
      <c r="Q35" s="27" t="s">
        <v>70</v>
      </c>
      <c r="R35" s="27" t="s">
        <v>70</v>
      </c>
      <c r="S35" s="27" t="s">
        <v>70</v>
      </c>
      <c r="T35" s="27" t="s">
        <v>70</v>
      </c>
      <c r="U35" s="27" t="s">
        <v>70</v>
      </c>
      <c r="V35" s="27" t="s">
        <v>70</v>
      </c>
      <c r="W35" s="27" t="s">
        <v>70</v>
      </c>
      <c r="X35" s="27" t="s">
        <v>70</v>
      </c>
      <c r="Y35" s="27" t="s">
        <v>70</v>
      </c>
      <c r="Z35" s="27" t="s">
        <v>70</v>
      </c>
      <c r="AA35" s="27" t="s">
        <v>70</v>
      </c>
      <c r="AB35" s="22" t="str">
        <f t="shared" si="0"/>
        <v/>
      </c>
    </row>
    <row r="36" spans="1:28" x14ac:dyDescent="0.25">
      <c r="A36" s="6" t="s">
        <v>110</v>
      </c>
      <c r="B36" s="4" t="s">
        <v>111</v>
      </c>
      <c r="C36" s="4" t="s">
        <v>112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7" t="s">
        <v>70</v>
      </c>
      <c r="Z36" s="27" t="s">
        <v>70</v>
      </c>
      <c r="AA36" s="27" t="s">
        <v>70</v>
      </c>
      <c r="AB36" s="22" t="str">
        <f t="shared" si="0"/>
        <v/>
      </c>
    </row>
    <row r="37" spans="1:28" x14ac:dyDescent="0.25">
      <c r="A37" s="6" t="s">
        <v>113</v>
      </c>
      <c r="B37" s="4" t="s">
        <v>111</v>
      </c>
      <c r="C37" s="4" t="s">
        <v>63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7" t="s">
        <v>70</v>
      </c>
      <c r="AB37" s="22" t="str">
        <f t="shared" si="0"/>
        <v/>
      </c>
    </row>
    <row r="38" spans="1:28" x14ac:dyDescent="0.25">
      <c r="A38" s="4"/>
      <c r="B38" s="4"/>
      <c r="C38" s="4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spans="1:28" x14ac:dyDescent="0.25">
      <c r="A39" s="9" t="s">
        <v>114</v>
      </c>
      <c r="B39" s="4"/>
      <c r="C39" s="4"/>
      <c r="D39" s="21" t="str">
        <f ca="1">IF(AND($H$3&lt;&gt;"",EDATE($H$3,0)&lt;=TODAY(),EDATE($H$3,1)&gt;TODAY()),"●","")</f>
        <v/>
      </c>
      <c r="E39" s="21" t="str">
        <f ca="1">IF(AND($H$3&lt;&gt;"",EDATE($H$3,1)&lt;=TODAY(),EDATE($H$3,2)&gt;TODAY()),"●","")</f>
        <v/>
      </c>
      <c r="F39" s="21" t="str">
        <f ca="1">IF(AND($H$3&lt;&gt;"",EDATE($H$3,2)&lt;=TODAY(),EDATE($H$3,3)&gt;TODAY()),"●","")</f>
        <v/>
      </c>
      <c r="G39" s="21" t="str">
        <f ca="1">IF(AND($H$3&lt;&gt;"",EDATE($H$3,3)&lt;=TODAY(),EDATE($H$3,4)&gt;TODAY()),"●","")</f>
        <v/>
      </c>
      <c r="H39" s="21" t="str">
        <f ca="1">IF(AND($H$3&lt;&gt;"",EDATE($H$3,4)&lt;=TODAY(),EDATE($H$3,5)&gt;TODAY()),"●","")</f>
        <v/>
      </c>
      <c r="I39" s="21" t="str">
        <f ca="1">IF(AND($H$3&lt;&gt;"",EDATE($H$3,5)&lt;=TODAY(),EDATE($H$3,6)&gt;TODAY()),"●","")</f>
        <v/>
      </c>
      <c r="J39" s="21" t="str">
        <f ca="1">IF(AND($H$3&lt;&gt;"",EDATE($H$3,6)&lt;=TODAY(),EDATE($H$3,7)&gt;TODAY()),"●","")</f>
        <v/>
      </c>
      <c r="K39" s="21" t="str">
        <f ca="1">IF(AND($H$3&lt;&gt;"",EDATE($H$3,7)&lt;=TODAY(),EDATE($H$3,8)&gt;TODAY()),"●","")</f>
        <v/>
      </c>
      <c r="L39" s="21" t="str">
        <f ca="1">IF(AND($H$3&lt;&gt;"",EDATE($H$3,8)&lt;=TODAY(),EDATE($H$3,9)&gt;TODAY()),"●","")</f>
        <v/>
      </c>
      <c r="M39" s="21" t="str">
        <f ca="1">IF(AND($H$3&lt;&gt;"",EDATE($H$3,9)&lt;=TODAY(),EDATE($H$3,10)&gt;TODAY()),"●","")</f>
        <v/>
      </c>
      <c r="N39" s="21" t="str">
        <f ca="1">IF(AND($H$3&lt;&gt;"",EDATE($H$3,10)&lt;=TODAY(),EDATE($H$3,11)&gt;TODAY()),"●","")</f>
        <v/>
      </c>
      <c r="O39" s="21" t="str">
        <f ca="1">IF(AND($H$3&lt;&gt;"",EDATE($H$3,11)&lt;=TODAY(),EDATE($H$3,12)&gt;TODAY()),"●","")</f>
        <v/>
      </c>
      <c r="P39" s="21" t="str">
        <f ca="1">IF(AND($H$3&lt;&gt;"",EDATE($H$3,12)&lt;=TODAY(),EDATE($H$3,13)&gt;TODAY()),"●","")</f>
        <v/>
      </c>
      <c r="Q39" s="21" t="str">
        <f ca="1">IF(AND($H$3&lt;&gt;"",EDATE($H$3,13)&lt;=TODAY(),EDATE($H$3,14)&gt;TODAY()),"●","")</f>
        <v/>
      </c>
      <c r="R39" s="21" t="str">
        <f ca="1">IF(AND($H$3&lt;&gt;"",EDATE($H$3,14)&lt;=TODAY(),EDATE($H$3,15)&gt;TODAY()),"●","")</f>
        <v/>
      </c>
      <c r="S39" s="21" t="str">
        <f ca="1">IF(AND($H$3&lt;&gt;"",EDATE($H$3,15)&lt;=TODAY(),EDATE($H$3,16)&gt;TODAY()),"●","")</f>
        <v/>
      </c>
      <c r="T39" s="21" t="str">
        <f ca="1">IF(AND($H$3&lt;&gt;"",EDATE($H$3,16)&lt;=TODAY(),EDATE($H$3,17)&gt;TODAY()),"●","")</f>
        <v/>
      </c>
      <c r="U39" s="21" t="str">
        <f ca="1">IF(AND($H$3&lt;&gt;"",EDATE($H$3,17)&lt;=TODAY(),EDATE($H$3,18)&gt;TODAY()),"●","")</f>
        <v/>
      </c>
      <c r="V39" s="21" t="str">
        <f ca="1">IF(AND($H$3&lt;&gt;"",EDATE($H$3,18)&lt;=TODAY(),EDATE($H$3,19)&gt;TODAY()),"●","")</f>
        <v/>
      </c>
      <c r="W39" s="21" t="str">
        <f ca="1">IF(AND($H$3&lt;&gt;"",EDATE($H$3,19)&lt;=TODAY(),EDATE($H$3,20)&gt;TODAY()),"●","")</f>
        <v/>
      </c>
      <c r="X39" s="21" t="str">
        <f ca="1">IF(AND($H$3&lt;&gt;"",EDATE($H$3,20)&lt;=TODAY(),EDATE($H$3,21)&gt;TODAY()),"●","")</f>
        <v/>
      </c>
      <c r="Y39" s="21" t="str">
        <f ca="1">IF(AND($H$3&lt;&gt;"",EDATE($H$3,21)&lt;=TODAY(),EDATE($H$3,22)&gt;TODAY()),"●","")</f>
        <v/>
      </c>
      <c r="Z39" s="21" t="str">
        <f ca="1">IF(AND($H$3&lt;&gt;"",EDATE($H$3,22)&lt;=TODAY(),EDATE($H$3,23)&gt;TODAY()),"●","")</f>
        <v/>
      </c>
      <c r="AA39" s="21" t="str">
        <f ca="1">IF(AND($H$3&lt;&gt;"",EDATE($H$3,23)&lt;=TODAY(),EDATE($H$3,24)&gt;TODAY()),"●","")</f>
        <v/>
      </c>
      <c r="AB39" s="21"/>
    </row>
    <row r="41" spans="1:28" x14ac:dyDescent="0.25">
      <c r="A41" s="32" t="s">
        <v>115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</sheetData>
  <autoFilter ref="A5:AB37" xr:uid="{00000000-0009-0000-0000-000001000000}"/>
  <mergeCells count="2">
    <mergeCell ref="A1:AC1"/>
    <mergeCell ref="A41:AB41"/>
  </mergeCells>
  <phoneticPr fontId="5" type="noConversion"/>
  <dataValidations count="1">
    <dataValidation type="list" allowBlank="1" sqref="D8:AA37" xr:uid="{00000000-0002-0000-0100-000000000000}">
      <formula1>"☐,☑"</formula1>
    </dataValidation>
  </dataValidation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41"/>
  <sheetViews>
    <sheetView showGridLines="0" tabSelected="1" zoomScale="70" zoomScaleNormal="70" workbookViewId="0">
      <pane xSplit="3" ySplit="7" topLeftCell="M14" activePane="bottomRight" state="frozen"/>
      <selection pane="topRight"/>
      <selection pane="bottomLeft"/>
      <selection pane="bottomRight" activeCell="V40" sqref="V40"/>
    </sheetView>
  </sheetViews>
  <sheetFormatPr defaultRowHeight="15.75" x14ac:dyDescent="0.25"/>
  <cols>
    <col min="1" max="1" width="34" style="16" customWidth="1"/>
    <col min="2" max="2" width="16" style="16" customWidth="1"/>
    <col min="3" max="3" width="22" style="16" customWidth="1"/>
    <col min="4" max="27" width="14" style="16" customWidth="1"/>
    <col min="28" max="28" width="12" style="16" customWidth="1"/>
  </cols>
  <sheetData>
    <row r="1" spans="1:29" ht="30" customHeight="1" x14ac:dyDescent="0.4">
      <c r="A1" s="31" t="s">
        <v>33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3" spans="1:29" ht="24" customHeight="1" x14ac:dyDescent="0.25">
      <c r="A3" s="14" t="s">
        <v>1</v>
      </c>
      <c r="B3" s="15" t="s">
        <v>7</v>
      </c>
      <c r="D3" s="14" t="s">
        <v>34</v>
      </c>
      <c r="E3" s="15" t="s">
        <v>8</v>
      </c>
      <c r="G3" s="14" t="s">
        <v>3</v>
      </c>
      <c r="H3" s="24">
        <v>45607</v>
      </c>
      <c r="J3" s="14" t="s">
        <v>35</v>
      </c>
      <c r="K3" s="25">
        <f>IF(H3="","",EDATE(H3,24)-1)</f>
        <v>46336</v>
      </c>
      <c r="M3" s="14" t="s">
        <v>36</v>
      </c>
      <c r="N3" s="13">
        <f ca="1">IF(H3="","",MAX(1,DATEDIF(H3,TODAY(),"m")+1))</f>
        <v>23</v>
      </c>
    </row>
    <row r="5" spans="1:29" x14ac:dyDescent="0.25">
      <c r="A5" s="2" t="s">
        <v>37</v>
      </c>
      <c r="B5" s="2" t="s">
        <v>38</v>
      </c>
      <c r="C5" s="2" t="s">
        <v>39</v>
      </c>
      <c r="D5" s="20" t="s">
        <v>40</v>
      </c>
      <c r="E5" s="20" t="s">
        <v>41</v>
      </c>
      <c r="F5" s="20" t="s">
        <v>42</v>
      </c>
      <c r="G5" s="20" t="s">
        <v>43</v>
      </c>
      <c r="H5" s="20" t="s">
        <v>44</v>
      </c>
      <c r="I5" s="20" t="s">
        <v>45</v>
      </c>
      <c r="J5" s="20" t="s">
        <v>46</v>
      </c>
      <c r="K5" s="20" t="s">
        <v>47</v>
      </c>
      <c r="L5" s="20" t="s">
        <v>48</v>
      </c>
      <c r="M5" s="20" t="s">
        <v>49</v>
      </c>
      <c r="N5" s="20" t="s">
        <v>50</v>
      </c>
      <c r="O5" s="20" t="s">
        <v>51</v>
      </c>
      <c r="P5" s="20" t="s">
        <v>52</v>
      </c>
      <c r="Q5" s="20" t="s">
        <v>53</v>
      </c>
      <c r="R5" s="20" t="s">
        <v>54</v>
      </c>
      <c r="S5" s="20" t="s">
        <v>55</v>
      </c>
      <c r="T5" s="20" t="s">
        <v>56</v>
      </c>
      <c r="U5" s="20" t="s">
        <v>57</v>
      </c>
      <c r="V5" s="20" t="s">
        <v>58</v>
      </c>
      <c r="W5" s="20" t="s">
        <v>59</v>
      </c>
      <c r="X5" s="20" t="s">
        <v>60</v>
      </c>
      <c r="Y5" s="20" t="s">
        <v>61</v>
      </c>
      <c r="Z5" s="20" t="s">
        <v>62</v>
      </c>
      <c r="AA5" s="20" t="s">
        <v>63</v>
      </c>
      <c r="AB5" s="20" t="s">
        <v>64</v>
      </c>
    </row>
    <row r="6" spans="1:29" x14ac:dyDescent="0.25">
      <c r="A6" s="3" t="s">
        <v>65</v>
      </c>
      <c r="B6" s="4"/>
      <c r="C6" s="4" t="s">
        <v>66</v>
      </c>
      <c r="D6" s="26">
        <f>IF($H$3="","",EDATE($H$3,0))</f>
        <v>45607</v>
      </c>
      <c r="E6" s="26">
        <f>IF($H$3="","",EDATE($H$3,1))</f>
        <v>45637</v>
      </c>
      <c r="F6" s="26">
        <f>IF($H$3="","",EDATE($H$3,2))</f>
        <v>45668</v>
      </c>
      <c r="G6" s="26">
        <f>IF($H$3="","",EDATE($H$3,3))</f>
        <v>45699</v>
      </c>
      <c r="H6" s="26">
        <f>IF($H$3="","",EDATE($H$3,4))</f>
        <v>45727</v>
      </c>
      <c r="I6" s="26">
        <f>IF($H$3="","",EDATE($H$3,5))</f>
        <v>45758</v>
      </c>
      <c r="J6" s="26">
        <f>IF($H$3="","",EDATE($H$3,6))</f>
        <v>45788</v>
      </c>
      <c r="K6" s="26">
        <f>IF($H$3="","",EDATE($H$3,7))</f>
        <v>45819</v>
      </c>
      <c r="L6" s="26">
        <f>IF($H$3="","",EDATE($H$3,8))</f>
        <v>45849</v>
      </c>
      <c r="M6" s="26">
        <f>IF($H$3="","",EDATE($H$3,9))</f>
        <v>45880</v>
      </c>
      <c r="N6" s="26">
        <f>IF($H$3="","",EDATE($H$3,10))</f>
        <v>45911</v>
      </c>
      <c r="O6" s="26">
        <f>IF($H$3="","",EDATE($H$3,11))</f>
        <v>45941</v>
      </c>
      <c r="P6" s="26">
        <f>IF($H$3="","",EDATE($H$3,12))</f>
        <v>45972</v>
      </c>
      <c r="Q6" s="26">
        <f>IF($H$3="","",EDATE($H$3,13))</f>
        <v>46002</v>
      </c>
      <c r="R6" s="26">
        <f>IF($H$3="","",EDATE($H$3,14))</f>
        <v>46033</v>
      </c>
      <c r="S6" s="26">
        <f>IF($H$3="","",EDATE($H$3,15))</f>
        <v>46064</v>
      </c>
      <c r="T6" s="26">
        <f>IF($H$3="","",EDATE($H$3,16))</f>
        <v>46092</v>
      </c>
      <c r="U6" s="26">
        <f>IF($H$3="","",EDATE($H$3,17))</f>
        <v>46123</v>
      </c>
      <c r="V6" s="26">
        <f>IF($H$3="","",EDATE($H$3,18))</f>
        <v>46153</v>
      </c>
      <c r="W6" s="26">
        <f>IF($H$3="","",EDATE($H$3,19))</f>
        <v>46184</v>
      </c>
      <c r="X6" s="26">
        <f>IF($H$3="","",EDATE($H$3,20))</f>
        <v>46214</v>
      </c>
      <c r="Y6" s="26">
        <f>IF($H$3="","",EDATE($H$3,21))</f>
        <v>46245</v>
      </c>
      <c r="Z6" s="26">
        <f>IF($H$3="","",EDATE($H$3,22))</f>
        <v>46276</v>
      </c>
      <c r="AA6" s="26">
        <f>IF($H$3="","",EDATE($H$3,23))</f>
        <v>46306</v>
      </c>
      <c r="AB6" s="21"/>
    </row>
    <row r="7" spans="1:29" x14ac:dyDescent="0.25">
      <c r="A7" s="4"/>
      <c r="B7" s="4"/>
      <c r="C7" s="4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9" x14ac:dyDescent="0.25">
      <c r="A8" s="5" t="s">
        <v>67</v>
      </c>
      <c r="B8" s="4" t="s">
        <v>68</v>
      </c>
      <c r="C8" s="4" t="s">
        <v>69</v>
      </c>
      <c r="D8" s="27" t="s">
        <v>116</v>
      </c>
      <c r="E8" s="27" t="s">
        <v>116</v>
      </c>
      <c r="F8" s="27" t="s">
        <v>116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2" t="str">
        <f t="shared" ref="AB8:AB37" si="0">IF(COUNTIF(D8:AA8,"○")+COUNTIF(D8:AA8,"✓")=0,"",COUNTIF(D8:AA8,"✓")/(COUNTIF(D8:AA8,"○")+COUNTIF(D8:AA8,"✓")))</f>
        <v/>
      </c>
    </row>
    <row r="9" spans="1:29" x14ac:dyDescent="0.25">
      <c r="A9" s="5" t="s">
        <v>71</v>
      </c>
      <c r="B9" s="4" t="s">
        <v>68</v>
      </c>
      <c r="C9" s="4" t="s">
        <v>69</v>
      </c>
      <c r="D9" s="27" t="s">
        <v>116</v>
      </c>
      <c r="E9" s="27" t="s">
        <v>116</v>
      </c>
      <c r="F9" s="27" t="s">
        <v>116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2" t="str">
        <f t="shared" si="0"/>
        <v/>
      </c>
    </row>
    <row r="10" spans="1:29" x14ac:dyDescent="0.25">
      <c r="A10" s="5" t="s">
        <v>72</v>
      </c>
      <c r="B10" s="4" t="s">
        <v>68</v>
      </c>
      <c r="C10" s="4" t="s">
        <v>69</v>
      </c>
      <c r="D10" s="27" t="s">
        <v>116</v>
      </c>
      <c r="E10" s="27" t="s">
        <v>116</v>
      </c>
      <c r="F10" s="27" t="s">
        <v>116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2" t="str">
        <f t="shared" si="0"/>
        <v/>
      </c>
    </row>
    <row r="11" spans="1:29" x14ac:dyDescent="0.25">
      <c r="A11" s="5" t="s">
        <v>73</v>
      </c>
      <c r="B11" s="4" t="s">
        <v>68</v>
      </c>
      <c r="C11" s="4" t="s">
        <v>69</v>
      </c>
      <c r="D11" s="27" t="s">
        <v>116</v>
      </c>
      <c r="E11" s="27" t="s">
        <v>116</v>
      </c>
      <c r="F11" s="27" t="s">
        <v>116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2" t="str">
        <f t="shared" si="0"/>
        <v/>
      </c>
    </row>
    <row r="12" spans="1:29" x14ac:dyDescent="0.25">
      <c r="A12" s="5" t="s">
        <v>74</v>
      </c>
      <c r="B12" s="4" t="s">
        <v>68</v>
      </c>
      <c r="C12" s="4" t="s">
        <v>69</v>
      </c>
      <c r="D12" s="27" t="s">
        <v>116</v>
      </c>
      <c r="E12" s="27" t="s">
        <v>116</v>
      </c>
      <c r="F12" s="27" t="s">
        <v>116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2" t="str">
        <f t="shared" si="0"/>
        <v/>
      </c>
    </row>
    <row r="13" spans="1:29" x14ac:dyDescent="0.25">
      <c r="A13" s="6" t="s">
        <v>75</v>
      </c>
      <c r="B13" s="4" t="s">
        <v>76</v>
      </c>
      <c r="C13" s="4" t="s">
        <v>69</v>
      </c>
      <c r="D13" s="27" t="s">
        <v>116</v>
      </c>
      <c r="E13" s="27" t="s">
        <v>116</v>
      </c>
      <c r="F13" s="27" t="s">
        <v>116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2" t="str">
        <f t="shared" si="0"/>
        <v/>
      </c>
    </row>
    <row r="14" spans="1:29" x14ac:dyDescent="0.25">
      <c r="A14" s="7" t="s">
        <v>77</v>
      </c>
      <c r="B14" s="4" t="s">
        <v>78</v>
      </c>
      <c r="C14" s="4" t="s">
        <v>79</v>
      </c>
      <c r="D14" s="21"/>
      <c r="E14" s="21"/>
      <c r="F14" s="21"/>
      <c r="G14" s="27" t="s">
        <v>116</v>
      </c>
      <c r="H14" s="27" t="s">
        <v>116</v>
      </c>
      <c r="I14" s="27" t="s">
        <v>116</v>
      </c>
      <c r="J14" s="27" t="s">
        <v>116</v>
      </c>
      <c r="K14" s="27" t="s">
        <v>116</v>
      </c>
      <c r="L14" s="27" t="s">
        <v>116</v>
      </c>
      <c r="M14" s="27" t="s">
        <v>116</v>
      </c>
      <c r="N14" s="27" t="s">
        <v>116</v>
      </c>
      <c r="O14" s="27" t="s">
        <v>116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2" t="str">
        <f t="shared" si="0"/>
        <v/>
      </c>
    </row>
    <row r="15" spans="1:29" x14ac:dyDescent="0.25">
      <c r="A15" s="7" t="s">
        <v>80</v>
      </c>
      <c r="B15" s="4" t="s">
        <v>78</v>
      </c>
      <c r="C15" s="4" t="s">
        <v>79</v>
      </c>
      <c r="D15" s="21"/>
      <c r="E15" s="21"/>
      <c r="F15" s="21"/>
      <c r="G15" s="27" t="s">
        <v>116</v>
      </c>
      <c r="H15" s="27" t="s">
        <v>116</v>
      </c>
      <c r="I15" s="27" t="s">
        <v>116</v>
      </c>
      <c r="J15" s="27" t="s">
        <v>116</v>
      </c>
      <c r="K15" s="27" t="s">
        <v>116</v>
      </c>
      <c r="L15" s="27" t="s">
        <v>116</v>
      </c>
      <c r="M15" s="27" t="s">
        <v>116</v>
      </c>
      <c r="N15" s="27" t="s">
        <v>116</v>
      </c>
      <c r="O15" s="27" t="s">
        <v>116</v>
      </c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2" t="str">
        <f t="shared" si="0"/>
        <v/>
      </c>
    </row>
    <row r="16" spans="1:29" x14ac:dyDescent="0.25">
      <c r="A16" s="7" t="s">
        <v>81</v>
      </c>
      <c r="B16" s="4" t="s">
        <v>78</v>
      </c>
      <c r="C16" s="4" t="s">
        <v>79</v>
      </c>
      <c r="D16" s="21"/>
      <c r="E16" s="21"/>
      <c r="F16" s="21"/>
      <c r="G16" s="27" t="s">
        <v>116</v>
      </c>
      <c r="H16" s="27" t="s">
        <v>116</v>
      </c>
      <c r="I16" s="27" t="s">
        <v>116</v>
      </c>
      <c r="J16" s="27" t="s">
        <v>116</v>
      </c>
      <c r="K16" s="27" t="s">
        <v>116</v>
      </c>
      <c r="L16" s="27" t="s">
        <v>116</v>
      </c>
      <c r="M16" s="27" t="s">
        <v>116</v>
      </c>
      <c r="N16" s="27" t="s">
        <v>116</v>
      </c>
      <c r="O16" s="27" t="s">
        <v>116</v>
      </c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2" t="str">
        <f t="shared" si="0"/>
        <v/>
      </c>
    </row>
    <row r="17" spans="1:28" ht="31.5" customHeight="1" x14ac:dyDescent="0.25">
      <c r="A17" s="7" t="s">
        <v>82</v>
      </c>
      <c r="B17" s="4" t="s">
        <v>78</v>
      </c>
      <c r="C17" s="4" t="s">
        <v>79</v>
      </c>
      <c r="D17" s="21"/>
      <c r="E17" s="21"/>
      <c r="F17" s="21"/>
      <c r="G17" s="27" t="s">
        <v>116</v>
      </c>
      <c r="H17" s="27" t="s">
        <v>116</v>
      </c>
      <c r="I17" s="27" t="s">
        <v>116</v>
      </c>
      <c r="J17" s="27" t="s">
        <v>116</v>
      </c>
      <c r="K17" s="27" t="s">
        <v>116</v>
      </c>
      <c r="L17" s="27" t="s">
        <v>116</v>
      </c>
      <c r="M17" s="27" t="s">
        <v>116</v>
      </c>
      <c r="N17" s="27" t="s">
        <v>116</v>
      </c>
      <c r="O17" s="27" t="s">
        <v>116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2" t="str">
        <f t="shared" si="0"/>
        <v/>
      </c>
    </row>
    <row r="18" spans="1:28" x14ac:dyDescent="0.25">
      <c r="A18" s="7" t="s">
        <v>83</v>
      </c>
      <c r="B18" s="4" t="s">
        <v>78</v>
      </c>
      <c r="C18" s="4" t="s">
        <v>79</v>
      </c>
      <c r="D18" s="21"/>
      <c r="E18" s="21"/>
      <c r="F18" s="21"/>
      <c r="G18" s="27" t="s">
        <v>116</v>
      </c>
      <c r="H18" s="27" t="s">
        <v>116</v>
      </c>
      <c r="I18" s="27" t="s">
        <v>116</v>
      </c>
      <c r="J18" s="27" t="s">
        <v>116</v>
      </c>
      <c r="K18" s="27" t="s">
        <v>116</v>
      </c>
      <c r="L18" s="27" t="s">
        <v>116</v>
      </c>
      <c r="M18" s="27" t="s">
        <v>116</v>
      </c>
      <c r="N18" s="27" t="s">
        <v>116</v>
      </c>
      <c r="O18" s="27" t="s">
        <v>116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2" t="str">
        <f t="shared" si="0"/>
        <v/>
      </c>
    </row>
    <row r="19" spans="1:28" x14ac:dyDescent="0.25">
      <c r="A19" s="6" t="s">
        <v>84</v>
      </c>
      <c r="B19" s="4" t="s">
        <v>76</v>
      </c>
      <c r="C19" s="4" t="s">
        <v>79</v>
      </c>
      <c r="D19" s="21"/>
      <c r="E19" s="21"/>
      <c r="F19" s="21"/>
      <c r="G19" s="27" t="s">
        <v>116</v>
      </c>
      <c r="H19" s="27" t="s">
        <v>116</v>
      </c>
      <c r="I19" s="27" t="s">
        <v>116</v>
      </c>
      <c r="J19" s="27" t="s">
        <v>116</v>
      </c>
      <c r="K19" s="27" t="s">
        <v>116</v>
      </c>
      <c r="L19" s="27" t="s">
        <v>116</v>
      </c>
      <c r="M19" s="27" t="s">
        <v>116</v>
      </c>
      <c r="N19" s="27" t="s">
        <v>116</v>
      </c>
      <c r="O19" s="27" t="s">
        <v>116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2" t="str">
        <f t="shared" si="0"/>
        <v/>
      </c>
    </row>
    <row r="20" spans="1:28" x14ac:dyDescent="0.25">
      <c r="A20" s="7" t="s">
        <v>85</v>
      </c>
      <c r="B20" s="4" t="s">
        <v>78</v>
      </c>
      <c r="C20" s="4" t="s">
        <v>86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7" t="s">
        <v>116</v>
      </c>
      <c r="Q20" s="27" t="s">
        <v>116</v>
      </c>
      <c r="R20" s="27" t="s">
        <v>116</v>
      </c>
      <c r="S20" s="27" t="s">
        <v>116</v>
      </c>
      <c r="T20" s="27" t="s">
        <v>116</v>
      </c>
      <c r="U20" s="27" t="s">
        <v>116</v>
      </c>
      <c r="V20" s="27" t="s">
        <v>116</v>
      </c>
      <c r="W20" s="27" t="s">
        <v>116</v>
      </c>
      <c r="X20" s="27" t="s">
        <v>116</v>
      </c>
      <c r="Y20" s="27" t="s">
        <v>116</v>
      </c>
      <c r="Z20" s="27" t="s">
        <v>70</v>
      </c>
      <c r="AA20" s="27" t="s">
        <v>70</v>
      </c>
      <c r="AB20" s="22" t="str">
        <f t="shared" si="0"/>
        <v/>
      </c>
    </row>
    <row r="21" spans="1:28" x14ac:dyDescent="0.25">
      <c r="A21" s="7" t="s">
        <v>87</v>
      </c>
      <c r="B21" s="4" t="s">
        <v>78</v>
      </c>
      <c r="C21" s="4" t="s">
        <v>86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7" t="s">
        <v>116</v>
      </c>
      <c r="Q21" s="27" t="s">
        <v>116</v>
      </c>
      <c r="R21" s="27" t="s">
        <v>116</v>
      </c>
      <c r="S21" s="27" t="s">
        <v>116</v>
      </c>
      <c r="T21" s="27" t="s">
        <v>116</v>
      </c>
      <c r="U21" s="27" t="s">
        <v>116</v>
      </c>
      <c r="V21" s="27" t="s">
        <v>116</v>
      </c>
      <c r="W21" s="27" t="s">
        <v>116</v>
      </c>
      <c r="X21" s="27" t="s">
        <v>116</v>
      </c>
      <c r="Y21" s="27" t="s">
        <v>116</v>
      </c>
      <c r="Z21" s="27" t="s">
        <v>70</v>
      </c>
      <c r="AA21" s="27" t="s">
        <v>70</v>
      </c>
      <c r="AB21" s="22" t="str">
        <f t="shared" si="0"/>
        <v/>
      </c>
    </row>
    <row r="22" spans="1:28" x14ac:dyDescent="0.25">
      <c r="A22" s="7" t="s">
        <v>88</v>
      </c>
      <c r="B22" s="4" t="s">
        <v>78</v>
      </c>
      <c r="C22" s="4" t="s">
        <v>86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7" t="s">
        <v>116</v>
      </c>
      <c r="Q22" s="27" t="s">
        <v>116</v>
      </c>
      <c r="R22" s="27" t="s">
        <v>116</v>
      </c>
      <c r="S22" s="27" t="s">
        <v>116</v>
      </c>
      <c r="T22" s="27" t="s">
        <v>116</v>
      </c>
      <c r="U22" s="27" t="s">
        <v>116</v>
      </c>
      <c r="V22" s="27" t="s">
        <v>116</v>
      </c>
      <c r="W22" s="27" t="s">
        <v>116</v>
      </c>
      <c r="X22" s="27" t="s">
        <v>116</v>
      </c>
      <c r="Y22" s="27" t="s">
        <v>116</v>
      </c>
      <c r="Z22" s="27" t="s">
        <v>70</v>
      </c>
      <c r="AA22" s="27" t="s">
        <v>70</v>
      </c>
      <c r="AB22" s="22" t="str">
        <f t="shared" si="0"/>
        <v/>
      </c>
    </row>
    <row r="23" spans="1:28" x14ac:dyDescent="0.25">
      <c r="A23" s="7" t="s">
        <v>89</v>
      </c>
      <c r="B23" s="4" t="s">
        <v>78</v>
      </c>
      <c r="C23" s="4" t="s">
        <v>86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7" t="s">
        <v>116</v>
      </c>
      <c r="Q23" s="27" t="s">
        <v>116</v>
      </c>
      <c r="R23" s="27" t="s">
        <v>116</v>
      </c>
      <c r="S23" s="27" t="s">
        <v>116</v>
      </c>
      <c r="T23" s="27" t="s">
        <v>116</v>
      </c>
      <c r="U23" s="27" t="s">
        <v>116</v>
      </c>
      <c r="V23" s="27" t="s">
        <v>116</v>
      </c>
      <c r="W23" s="27" t="s">
        <v>116</v>
      </c>
      <c r="X23" s="27" t="s">
        <v>116</v>
      </c>
      <c r="Y23" s="27" t="s">
        <v>116</v>
      </c>
      <c r="Z23" s="27" t="s">
        <v>70</v>
      </c>
      <c r="AA23" s="27" t="s">
        <v>70</v>
      </c>
      <c r="AB23" s="22" t="str">
        <f t="shared" si="0"/>
        <v/>
      </c>
    </row>
    <row r="24" spans="1:28" x14ac:dyDescent="0.25">
      <c r="A24" s="7" t="s">
        <v>90</v>
      </c>
      <c r="B24" s="4" t="s">
        <v>78</v>
      </c>
      <c r="C24" s="4" t="s">
        <v>86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7" t="s">
        <v>116</v>
      </c>
      <c r="Q24" s="27" t="s">
        <v>116</v>
      </c>
      <c r="R24" s="27" t="s">
        <v>116</v>
      </c>
      <c r="S24" s="27" t="s">
        <v>116</v>
      </c>
      <c r="T24" s="27" t="s">
        <v>116</v>
      </c>
      <c r="U24" s="27" t="s">
        <v>116</v>
      </c>
      <c r="V24" s="27" t="s">
        <v>116</v>
      </c>
      <c r="W24" s="27" t="s">
        <v>116</v>
      </c>
      <c r="X24" s="27" t="s">
        <v>116</v>
      </c>
      <c r="Y24" s="27" t="s">
        <v>116</v>
      </c>
      <c r="Z24" s="27" t="s">
        <v>70</v>
      </c>
      <c r="AA24" s="27" t="s">
        <v>70</v>
      </c>
      <c r="AB24" s="22" t="str">
        <f t="shared" si="0"/>
        <v/>
      </c>
    </row>
    <row r="25" spans="1:28" x14ac:dyDescent="0.25">
      <c r="A25" s="7" t="s">
        <v>91</v>
      </c>
      <c r="B25" s="4" t="s">
        <v>78</v>
      </c>
      <c r="C25" s="4" t="s">
        <v>86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7" t="s">
        <v>116</v>
      </c>
      <c r="Q25" s="27" t="s">
        <v>116</v>
      </c>
      <c r="R25" s="27" t="s">
        <v>116</v>
      </c>
      <c r="S25" s="27" t="s">
        <v>116</v>
      </c>
      <c r="T25" s="27" t="s">
        <v>116</v>
      </c>
      <c r="U25" s="27" t="s">
        <v>116</v>
      </c>
      <c r="V25" s="27" t="s">
        <v>116</v>
      </c>
      <c r="W25" s="27" t="s">
        <v>116</v>
      </c>
      <c r="X25" s="27" t="s">
        <v>116</v>
      </c>
      <c r="Y25" s="27" t="s">
        <v>116</v>
      </c>
      <c r="Z25" s="27" t="s">
        <v>70</v>
      </c>
      <c r="AA25" s="27" t="s">
        <v>70</v>
      </c>
      <c r="AB25" s="22" t="str">
        <f t="shared" si="0"/>
        <v/>
      </c>
    </row>
    <row r="26" spans="1:28" x14ac:dyDescent="0.25">
      <c r="A26" s="7" t="s">
        <v>92</v>
      </c>
      <c r="B26" s="4" t="s">
        <v>78</v>
      </c>
      <c r="C26" s="4" t="s">
        <v>86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7" t="s">
        <v>116</v>
      </c>
      <c r="Q26" s="27" t="s">
        <v>116</v>
      </c>
      <c r="R26" s="27" t="s">
        <v>116</v>
      </c>
      <c r="S26" s="27" t="s">
        <v>116</v>
      </c>
      <c r="T26" s="27" t="s">
        <v>116</v>
      </c>
      <c r="U26" s="27" t="s">
        <v>116</v>
      </c>
      <c r="V26" s="27" t="s">
        <v>116</v>
      </c>
      <c r="W26" s="27" t="s">
        <v>116</v>
      </c>
      <c r="X26" s="27" t="s">
        <v>116</v>
      </c>
      <c r="Y26" s="27" t="s">
        <v>116</v>
      </c>
      <c r="Z26" s="27" t="s">
        <v>70</v>
      </c>
      <c r="AA26" s="27" t="s">
        <v>70</v>
      </c>
      <c r="AB26" s="22" t="str">
        <f t="shared" si="0"/>
        <v/>
      </c>
    </row>
    <row r="27" spans="1:28" x14ac:dyDescent="0.25">
      <c r="A27" s="7" t="s">
        <v>93</v>
      </c>
      <c r="B27" s="4" t="s">
        <v>78</v>
      </c>
      <c r="C27" s="4" t="s">
        <v>86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7" t="s">
        <v>116</v>
      </c>
      <c r="Q27" s="27" t="s">
        <v>116</v>
      </c>
      <c r="R27" s="27" t="s">
        <v>116</v>
      </c>
      <c r="S27" s="27" t="s">
        <v>116</v>
      </c>
      <c r="T27" s="27" t="s">
        <v>116</v>
      </c>
      <c r="U27" s="27" t="s">
        <v>116</v>
      </c>
      <c r="V27" s="27" t="s">
        <v>116</v>
      </c>
      <c r="W27" s="27" t="s">
        <v>116</v>
      </c>
      <c r="X27" s="27" t="s">
        <v>116</v>
      </c>
      <c r="Y27" s="27" t="s">
        <v>116</v>
      </c>
      <c r="Z27" s="27" t="s">
        <v>70</v>
      </c>
      <c r="AA27" s="27" t="s">
        <v>70</v>
      </c>
      <c r="AB27" s="22" t="str">
        <f t="shared" si="0"/>
        <v/>
      </c>
    </row>
    <row r="28" spans="1:28" x14ac:dyDescent="0.25">
      <c r="A28" s="7" t="s">
        <v>94</v>
      </c>
      <c r="B28" s="4" t="s">
        <v>78</v>
      </c>
      <c r="C28" s="4" t="s">
        <v>86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7" t="s">
        <v>116</v>
      </c>
      <c r="Q28" s="27" t="s">
        <v>116</v>
      </c>
      <c r="R28" s="27" t="s">
        <v>116</v>
      </c>
      <c r="S28" s="27" t="s">
        <v>116</v>
      </c>
      <c r="T28" s="27" t="s">
        <v>116</v>
      </c>
      <c r="U28" s="27" t="s">
        <v>116</v>
      </c>
      <c r="V28" s="27" t="s">
        <v>116</v>
      </c>
      <c r="W28" s="27" t="s">
        <v>116</v>
      </c>
      <c r="X28" s="27" t="s">
        <v>116</v>
      </c>
      <c r="Y28" s="27" t="s">
        <v>116</v>
      </c>
      <c r="Z28" s="27" t="s">
        <v>70</v>
      </c>
      <c r="AA28" s="27" t="s">
        <v>70</v>
      </c>
      <c r="AB28" s="22" t="str">
        <f t="shared" si="0"/>
        <v/>
      </c>
    </row>
    <row r="29" spans="1:28" x14ac:dyDescent="0.25">
      <c r="A29" s="6" t="s">
        <v>95</v>
      </c>
      <c r="B29" s="4" t="s">
        <v>76</v>
      </c>
      <c r="C29" s="4" t="s">
        <v>86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7" t="s">
        <v>116</v>
      </c>
      <c r="Q29" s="27" t="s">
        <v>116</v>
      </c>
      <c r="R29" s="27" t="s">
        <v>116</v>
      </c>
      <c r="S29" s="27" t="s">
        <v>116</v>
      </c>
      <c r="T29" s="27" t="s">
        <v>116</v>
      </c>
      <c r="U29" s="27" t="s">
        <v>116</v>
      </c>
      <c r="V29" s="27" t="s">
        <v>116</v>
      </c>
      <c r="W29" s="27" t="s">
        <v>116</v>
      </c>
      <c r="X29" s="27" t="s">
        <v>116</v>
      </c>
      <c r="Y29" s="27" t="s">
        <v>116</v>
      </c>
      <c r="Z29" s="27" t="s">
        <v>70</v>
      </c>
      <c r="AA29" s="27" t="s">
        <v>70</v>
      </c>
      <c r="AB29" s="22" t="str">
        <f t="shared" si="0"/>
        <v/>
      </c>
    </row>
    <row r="30" spans="1:28" x14ac:dyDescent="0.25">
      <c r="A30" s="8" t="s">
        <v>96</v>
      </c>
      <c r="B30" s="4" t="s">
        <v>97</v>
      </c>
      <c r="C30" s="4" t="s">
        <v>98</v>
      </c>
      <c r="D30" s="21"/>
      <c r="E30" s="21"/>
      <c r="F30" s="27" t="s">
        <v>116</v>
      </c>
      <c r="G30" s="21"/>
      <c r="H30" s="21"/>
      <c r="I30" s="27" t="s">
        <v>70</v>
      </c>
      <c r="J30" s="21"/>
      <c r="K30" s="21"/>
      <c r="L30" s="27" t="s">
        <v>70</v>
      </c>
      <c r="M30" s="21"/>
      <c r="N30" s="21"/>
      <c r="O30" s="27" t="s">
        <v>116</v>
      </c>
      <c r="P30" s="21"/>
      <c r="Q30" s="21"/>
      <c r="R30" s="27" t="s">
        <v>116</v>
      </c>
      <c r="S30" s="21"/>
      <c r="T30" s="21"/>
      <c r="U30" s="27" t="s">
        <v>116</v>
      </c>
      <c r="V30" s="21"/>
      <c r="W30" s="21"/>
      <c r="X30" s="27" t="s">
        <v>116</v>
      </c>
      <c r="Y30" s="21"/>
      <c r="Z30" s="21"/>
      <c r="AA30" s="27" t="s">
        <v>70</v>
      </c>
      <c r="AB30" s="22" t="str">
        <f t="shared" si="0"/>
        <v/>
      </c>
    </row>
    <row r="31" spans="1:28" x14ac:dyDescent="0.25">
      <c r="A31" s="8" t="s">
        <v>99</v>
      </c>
      <c r="B31" s="4" t="s">
        <v>100</v>
      </c>
      <c r="C31" s="4" t="s">
        <v>101</v>
      </c>
      <c r="D31" s="21"/>
      <c r="E31" s="21"/>
      <c r="F31" s="27" t="s">
        <v>116</v>
      </c>
      <c r="G31" s="21"/>
      <c r="H31" s="21"/>
      <c r="I31" s="27" t="s">
        <v>70</v>
      </c>
      <c r="J31" s="21"/>
      <c r="K31" s="21"/>
      <c r="L31" s="27" t="s">
        <v>70</v>
      </c>
      <c r="M31" s="21"/>
      <c r="N31" s="21"/>
      <c r="O31" s="27" t="s">
        <v>116</v>
      </c>
      <c r="P31" s="21"/>
      <c r="Q31" s="21"/>
      <c r="R31" s="27" t="s">
        <v>116</v>
      </c>
      <c r="S31" s="21"/>
      <c r="T31" s="21"/>
      <c r="U31" s="27" t="s">
        <v>116</v>
      </c>
      <c r="V31" s="21"/>
      <c r="W31" s="21"/>
      <c r="X31" s="27" t="s">
        <v>116</v>
      </c>
      <c r="Y31" s="21"/>
      <c r="Z31" s="21"/>
      <c r="AA31" s="27" t="s">
        <v>70</v>
      </c>
      <c r="AB31" s="22" t="str">
        <f t="shared" si="0"/>
        <v/>
      </c>
    </row>
    <row r="32" spans="1:28" x14ac:dyDescent="0.25">
      <c r="A32" s="8" t="s">
        <v>102</v>
      </c>
      <c r="B32" s="4" t="s">
        <v>100</v>
      </c>
      <c r="C32" s="4" t="s">
        <v>101</v>
      </c>
      <c r="D32" s="21"/>
      <c r="E32" s="21"/>
      <c r="F32" s="27" t="s">
        <v>116</v>
      </c>
      <c r="G32" s="21"/>
      <c r="H32" s="21"/>
      <c r="I32" s="27" t="s">
        <v>70</v>
      </c>
      <c r="J32" s="21"/>
      <c r="K32" s="21"/>
      <c r="L32" s="27" t="s">
        <v>70</v>
      </c>
      <c r="M32" s="21"/>
      <c r="N32" s="21"/>
      <c r="O32" s="27" t="s">
        <v>116</v>
      </c>
      <c r="P32" s="21"/>
      <c r="Q32" s="21"/>
      <c r="R32" s="27" t="s">
        <v>116</v>
      </c>
      <c r="S32" s="21"/>
      <c r="T32" s="21"/>
      <c r="U32" s="27" t="s">
        <v>116</v>
      </c>
      <c r="V32" s="21"/>
      <c r="W32" s="21"/>
      <c r="X32" s="27" t="s">
        <v>116</v>
      </c>
      <c r="Y32" s="21"/>
      <c r="Z32" s="21"/>
      <c r="AA32" s="27" t="s">
        <v>70</v>
      </c>
      <c r="AB32" s="22" t="str">
        <f t="shared" si="0"/>
        <v/>
      </c>
    </row>
    <row r="33" spans="1:28" x14ac:dyDescent="0.25">
      <c r="A33" s="8" t="s">
        <v>103</v>
      </c>
      <c r="B33" s="4" t="s">
        <v>100</v>
      </c>
      <c r="C33" s="4" t="s">
        <v>101</v>
      </c>
      <c r="D33" s="21"/>
      <c r="E33" s="21"/>
      <c r="F33" s="27" t="s">
        <v>116</v>
      </c>
      <c r="G33" s="21"/>
      <c r="H33" s="21"/>
      <c r="I33" s="27" t="s">
        <v>70</v>
      </c>
      <c r="J33" s="21"/>
      <c r="K33" s="21"/>
      <c r="L33" s="27" t="s">
        <v>70</v>
      </c>
      <c r="M33" s="21"/>
      <c r="N33" s="21"/>
      <c r="O33" s="27" t="s">
        <v>116</v>
      </c>
      <c r="P33" s="21"/>
      <c r="Q33" s="21"/>
      <c r="R33" s="27" t="s">
        <v>116</v>
      </c>
      <c r="S33" s="21"/>
      <c r="T33" s="21"/>
      <c r="U33" s="27" t="s">
        <v>116</v>
      </c>
      <c r="V33" s="21"/>
      <c r="W33" s="21"/>
      <c r="X33" s="27" t="s">
        <v>116</v>
      </c>
      <c r="Y33" s="21"/>
      <c r="Z33" s="21"/>
      <c r="AA33" s="27" t="s">
        <v>70</v>
      </c>
      <c r="AB33" s="22" t="str">
        <f t="shared" si="0"/>
        <v/>
      </c>
    </row>
    <row r="34" spans="1:28" x14ac:dyDescent="0.25">
      <c r="A34" s="8" t="s">
        <v>104</v>
      </c>
      <c r="B34" s="4" t="s">
        <v>105</v>
      </c>
      <c r="C34" s="4" t="s">
        <v>106</v>
      </c>
      <c r="D34" s="21"/>
      <c r="E34" s="21"/>
      <c r="F34" s="27" t="s">
        <v>116</v>
      </c>
      <c r="G34" s="21"/>
      <c r="H34" s="21"/>
      <c r="I34" s="27" t="s">
        <v>70</v>
      </c>
      <c r="J34" s="21"/>
      <c r="K34" s="21"/>
      <c r="L34" s="21"/>
      <c r="M34" s="21"/>
      <c r="N34" s="21"/>
      <c r="O34" s="27" t="s">
        <v>116</v>
      </c>
      <c r="P34" s="21"/>
      <c r="Q34" s="21"/>
      <c r="R34" s="21"/>
      <c r="S34" s="21"/>
      <c r="T34" s="21"/>
      <c r="U34" s="27" t="s">
        <v>116</v>
      </c>
      <c r="V34" s="21"/>
      <c r="W34" s="21"/>
      <c r="X34" s="21"/>
      <c r="Y34" s="21"/>
      <c r="Z34" s="21"/>
      <c r="AA34" s="27" t="s">
        <v>70</v>
      </c>
      <c r="AB34" s="22" t="str">
        <f t="shared" si="0"/>
        <v/>
      </c>
    </row>
    <row r="35" spans="1:28" x14ac:dyDescent="0.25">
      <c r="A35" s="6" t="s">
        <v>107</v>
      </c>
      <c r="B35" s="4" t="s">
        <v>108</v>
      </c>
      <c r="C35" s="4" t="s">
        <v>109</v>
      </c>
      <c r="D35" s="27" t="s">
        <v>116</v>
      </c>
      <c r="E35" s="27" t="s">
        <v>116</v>
      </c>
      <c r="F35" s="27" t="s">
        <v>116</v>
      </c>
      <c r="G35" s="27" t="s">
        <v>116</v>
      </c>
      <c r="H35" s="27" t="s">
        <v>116</v>
      </c>
      <c r="I35" s="27" t="s">
        <v>116</v>
      </c>
      <c r="J35" s="27" t="s">
        <v>116</v>
      </c>
      <c r="K35" s="27" t="s">
        <v>116</v>
      </c>
      <c r="L35" s="27" t="s">
        <v>116</v>
      </c>
      <c r="M35" s="27" t="s">
        <v>116</v>
      </c>
      <c r="N35" s="27" t="s">
        <v>116</v>
      </c>
      <c r="O35" s="27" t="s">
        <v>116</v>
      </c>
      <c r="P35" s="27" t="s">
        <v>116</v>
      </c>
      <c r="Q35" s="27" t="s">
        <v>116</v>
      </c>
      <c r="R35" s="27" t="s">
        <v>116</v>
      </c>
      <c r="S35" s="27" t="s">
        <v>116</v>
      </c>
      <c r="T35" s="27" t="s">
        <v>116</v>
      </c>
      <c r="U35" s="27" t="s">
        <v>116</v>
      </c>
      <c r="V35" s="27" t="s">
        <v>116</v>
      </c>
      <c r="W35" s="27" t="s">
        <v>116</v>
      </c>
      <c r="X35" s="27" t="s">
        <v>116</v>
      </c>
      <c r="Y35" s="27" t="s">
        <v>116</v>
      </c>
      <c r="Z35" s="27" t="s">
        <v>70</v>
      </c>
      <c r="AA35" s="27" t="s">
        <v>70</v>
      </c>
      <c r="AB35" s="22" t="str">
        <f t="shared" si="0"/>
        <v/>
      </c>
    </row>
    <row r="36" spans="1:28" x14ac:dyDescent="0.25">
      <c r="A36" s="6" t="s">
        <v>110</v>
      </c>
      <c r="B36" s="4" t="s">
        <v>111</v>
      </c>
      <c r="C36" s="4" t="s">
        <v>112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7" t="s">
        <v>116</v>
      </c>
      <c r="Z36" s="27" t="s">
        <v>70</v>
      </c>
      <c r="AA36" s="27" t="s">
        <v>70</v>
      </c>
      <c r="AB36" s="22" t="str">
        <f t="shared" si="0"/>
        <v/>
      </c>
    </row>
    <row r="37" spans="1:28" x14ac:dyDescent="0.25">
      <c r="A37" s="6" t="s">
        <v>113</v>
      </c>
      <c r="B37" s="4" t="s">
        <v>111</v>
      </c>
      <c r="C37" s="4" t="s">
        <v>63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7" t="s">
        <v>70</v>
      </c>
      <c r="AB37" s="22" t="str">
        <f t="shared" si="0"/>
        <v/>
      </c>
    </row>
    <row r="38" spans="1:28" x14ac:dyDescent="0.25">
      <c r="A38" s="4"/>
      <c r="B38" s="4"/>
      <c r="C38" s="4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spans="1:28" x14ac:dyDescent="0.25">
      <c r="A39" s="9" t="s">
        <v>114</v>
      </c>
      <c r="B39" s="4"/>
      <c r="C39" s="4"/>
      <c r="D39" s="21" t="str">
        <f ca="1">IF(AND($H$3&lt;&gt;"",EDATE($H$3,0)&lt;=TODAY(),EDATE($H$3,1)&gt;TODAY()),"●","")</f>
        <v/>
      </c>
      <c r="E39" s="21" t="str">
        <f ca="1">IF(AND($H$3&lt;&gt;"",EDATE($H$3,1)&lt;=TODAY(),EDATE($H$3,2)&gt;TODAY()),"●","")</f>
        <v/>
      </c>
      <c r="F39" s="21" t="str">
        <f ca="1">IF(AND($H$3&lt;&gt;"",EDATE($H$3,2)&lt;=TODAY(),EDATE($H$3,3)&gt;TODAY()),"●","")</f>
        <v/>
      </c>
      <c r="G39" s="21" t="str">
        <f ca="1">IF(AND($H$3&lt;&gt;"",EDATE($H$3,3)&lt;=TODAY(),EDATE($H$3,4)&gt;TODAY()),"●","")</f>
        <v/>
      </c>
      <c r="H39" s="21" t="str">
        <f ca="1">IF(AND($H$3&lt;&gt;"",EDATE($H$3,4)&lt;=TODAY(),EDATE($H$3,5)&gt;TODAY()),"●","")</f>
        <v/>
      </c>
      <c r="I39" s="21" t="str">
        <f ca="1">IF(AND($H$3&lt;&gt;"",EDATE($H$3,5)&lt;=TODAY(),EDATE($H$3,6)&gt;TODAY()),"●","")</f>
        <v/>
      </c>
      <c r="J39" s="21" t="str">
        <f ca="1">IF(AND($H$3&lt;&gt;"",EDATE($H$3,6)&lt;=TODAY(),EDATE($H$3,7)&gt;TODAY()),"●","")</f>
        <v/>
      </c>
      <c r="K39" s="21" t="str">
        <f ca="1">IF(AND($H$3&lt;&gt;"",EDATE($H$3,7)&lt;=TODAY(),EDATE($H$3,8)&gt;TODAY()),"●","")</f>
        <v/>
      </c>
      <c r="L39" s="21" t="str">
        <f ca="1">IF(AND($H$3&lt;&gt;"",EDATE($H$3,8)&lt;=TODAY(),EDATE($H$3,9)&gt;TODAY()),"●","")</f>
        <v/>
      </c>
      <c r="M39" s="21" t="str">
        <f ca="1">IF(AND($H$3&lt;&gt;"",EDATE($H$3,9)&lt;=TODAY(),EDATE($H$3,10)&gt;TODAY()),"●","")</f>
        <v/>
      </c>
      <c r="N39" s="21" t="str">
        <f ca="1">IF(AND($H$3&lt;&gt;"",EDATE($H$3,10)&lt;=TODAY(),EDATE($H$3,11)&gt;TODAY()),"●","")</f>
        <v/>
      </c>
      <c r="O39" s="21" t="str">
        <f ca="1">IF(AND($H$3&lt;&gt;"",EDATE($H$3,11)&lt;=TODAY(),EDATE($H$3,12)&gt;TODAY()),"●","")</f>
        <v/>
      </c>
      <c r="P39" s="21" t="str">
        <f ca="1">IF(AND($H$3&lt;&gt;"",EDATE($H$3,12)&lt;=TODAY(),EDATE($H$3,13)&gt;TODAY()),"●","")</f>
        <v/>
      </c>
      <c r="Q39" s="21" t="str">
        <f ca="1">IF(AND($H$3&lt;&gt;"",EDATE($H$3,13)&lt;=TODAY(),EDATE($H$3,14)&gt;TODAY()),"●","")</f>
        <v/>
      </c>
      <c r="R39" s="21" t="str">
        <f ca="1">IF(AND($H$3&lt;&gt;"",EDATE($H$3,14)&lt;=TODAY(),EDATE($H$3,15)&gt;TODAY()),"●","")</f>
        <v/>
      </c>
      <c r="S39" s="21" t="str">
        <f ca="1">IF(AND($H$3&lt;&gt;"",EDATE($H$3,15)&lt;=TODAY(),EDATE($H$3,16)&gt;TODAY()),"●","")</f>
        <v/>
      </c>
      <c r="T39" s="21" t="str">
        <f ca="1">IF(AND($H$3&lt;&gt;"",EDATE($H$3,16)&lt;=TODAY(),EDATE($H$3,17)&gt;TODAY()),"●","")</f>
        <v/>
      </c>
      <c r="U39" s="21" t="str">
        <f ca="1">IF(AND($H$3&lt;&gt;"",EDATE($H$3,17)&lt;=TODAY(),EDATE($H$3,18)&gt;TODAY()),"●","")</f>
        <v/>
      </c>
      <c r="V39" s="21" t="str">
        <f ca="1">IF(AND($H$3&lt;&gt;"",EDATE($H$3,18)&lt;=TODAY(),EDATE($H$3,19)&gt;TODAY()),"●","")</f>
        <v/>
      </c>
      <c r="W39" s="21" t="str">
        <f ca="1">IF(AND($H$3&lt;&gt;"",EDATE($H$3,19)&lt;=TODAY(),EDATE($H$3,20)&gt;TODAY()),"●","")</f>
        <v/>
      </c>
      <c r="X39" s="21" t="str">
        <f ca="1">IF(AND($H$3&lt;&gt;"",EDATE($H$3,20)&lt;=TODAY(),EDATE($H$3,21)&gt;TODAY()),"●","")</f>
        <v/>
      </c>
      <c r="Y39" s="21" t="str">
        <f ca="1">IF(AND($H$3&lt;&gt;"",EDATE($H$3,21)&lt;=TODAY(),EDATE($H$3,22)&gt;TODAY()),"●","")</f>
        <v/>
      </c>
      <c r="Z39" s="21" t="str">
        <f ca="1">IF(AND($H$3&lt;&gt;"",EDATE($H$3,22)&lt;=TODAY(),EDATE($H$3,23)&gt;TODAY()),"●","")</f>
        <v>●</v>
      </c>
      <c r="AA39" s="21" t="str">
        <f ca="1">IF(AND($H$3&lt;&gt;"",EDATE($H$3,23)&lt;=TODAY(),EDATE($H$3,24)&gt;TODAY()),"●","")</f>
        <v/>
      </c>
      <c r="AB39" s="21"/>
    </row>
    <row r="40" spans="1:28" x14ac:dyDescent="0.25">
      <c r="AB40" s="18"/>
    </row>
    <row r="41" spans="1:28" x14ac:dyDescent="0.25">
      <c r="A41" s="32" t="s">
        <v>115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</sheetData>
  <autoFilter ref="A5:AB37" xr:uid="{00000000-0009-0000-0000-000002000000}"/>
  <mergeCells count="2">
    <mergeCell ref="A1:AC1"/>
    <mergeCell ref="A41:AB41"/>
  </mergeCells>
  <phoneticPr fontId="5" type="noConversion"/>
  <dataValidations count="1">
    <dataValidation type="list" allowBlank="1" sqref="D8:AA37" xr:uid="{00000000-0002-0000-0200-000000000000}">
      <formula1>"☐,☑"</formula1>
    </dataValidation>
  </dataValidation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41"/>
  <sheetViews>
    <sheetView showGridLines="0" zoomScale="85" zoomScaleNormal="85" workbookViewId="0">
      <pane xSplit="3" ySplit="7" topLeftCell="D13" activePane="bottomRight" state="frozen"/>
      <selection pane="topRight"/>
      <selection pane="bottomLeft"/>
      <selection pane="bottomRight" activeCell="M24" sqref="M24"/>
    </sheetView>
  </sheetViews>
  <sheetFormatPr defaultRowHeight="15.75" x14ac:dyDescent="0.25"/>
  <cols>
    <col min="1" max="1" width="34" style="16" customWidth="1"/>
    <col min="2" max="2" width="16" style="16" customWidth="1"/>
    <col min="3" max="3" width="22" style="16" customWidth="1"/>
    <col min="4" max="27" width="14" style="18" customWidth="1"/>
    <col min="28" max="28" width="12" style="18" customWidth="1"/>
  </cols>
  <sheetData>
    <row r="1" spans="1:29" ht="30" customHeight="1" x14ac:dyDescent="0.4">
      <c r="A1" s="31" t="s">
        <v>33</v>
      </c>
      <c r="B1" s="29"/>
      <c r="C1" s="29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29"/>
    </row>
    <row r="3" spans="1:29" ht="24" customHeight="1" x14ac:dyDescent="0.25">
      <c r="A3" s="14" t="s">
        <v>1</v>
      </c>
      <c r="B3" s="15" t="s">
        <v>12</v>
      </c>
      <c r="D3" s="19" t="s">
        <v>34</v>
      </c>
      <c r="E3" s="15" t="s">
        <v>13</v>
      </c>
      <c r="G3" s="19" t="s">
        <v>3</v>
      </c>
      <c r="H3" s="24">
        <v>45642</v>
      </c>
      <c r="J3" s="19" t="s">
        <v>35</v>
      </c>
      <c r="K3" s="25">
        <f>IF(H3="","",EDATE(H3,24)-1)</f>
        <v>46371</v>
      </c>
      <c r="M3" s="19" t="s">
        <v>36</v>
      </c>
      <c r="N3" s="13">
        <f ca="1">IF(H3="","",MAX(1,DATEDIF(H3,TODAY(),"m")+1))</f>
        <v>21</v>
      </c>
    </row>
    <row r="5" spans="1:29" x14ac:dyDescent="0.25">
      <c r="A5" s="2" t="s">
        <v>37</v>
      </c>
      <c r="B5" s="2" t="s">
        <v>38</v>
      </c>
      <c r="C5" s="2" t="s">
        <v>39</v>
      </c>
      <c r="D5" s="20" t="s">
        <v>40</v>
      </c>
      <c r="E5" s="20" t="s">
        <v>41</v>
      </c>
      <c r="F5" s="20" t="s">
        <v>42</v>
      </c>
      <c r="G5" s="20" t="s">
        <v>43</v>
      </c>
      <c r="H5" s="20" t="s">
        <v>44</v>
      </c>
      <c r="I5" s="20" t="s">
        <v>45</v>
      </c>
      <c r="J5" s="20" t="s">
        <v>46</v>
      </c>
      <c r="K5" s="20" t="s">
        <v>47</v>
      </c>
      <c r="L5" s="20" t="s">
        <v>48</v>
      </c>
      <c r="M5" s="20" t="s">
        <v>49</v>
      </c>
      <c r="N5" s="20" t="s">
        <v>50</v>
      </c>
      <c r="O5" s="20" t="s">
        <v>51</v>
      </c>
      <c r="P5" s="20" t="s">
        <v>52</v>
      </c>
      <c r="Q5" s="20" t="s">
        <v>53</v>
      </c>
      <c r="R5" s="20" t="s">
        <v>54</v>
      </c>
      <c r="S5" s="20" t="s">
        <v>55</v>
      </c>
      <c r="T5" s="20" t="s">
        <v>56</v>
      </c>
      <c r="U5" s="20" t="s">
        <v>57</v>
      </c>
      <c r="V5" s="20" t="s">
        <v>58</v>
      </c>
      <c r="W5" s="20" t="s">
        <v>59</v>
      </c>
      <c r="X5" s="20" t="s">
        <v>60</v>
      </c>
      <c r="Y5" s="20" t="s">
        <v>61</v>
      </c>
      <c r="Z5" s="20" t="s">
        <v>62</v>
      </c>
      <c r="AA5" s="20" t="s">
        <v>63</v>
      </c>
      <c r="AB5" s="20" t="s">
        <v>64</v>
      </c>
    </row>
    <row r="6" spans="1:29" x14ac:dyDescent="0.25">
      <c r="A6" s="3" t="s">
        <v>65</v>
      </c>
      <c r="B6" s="4"/>
      <c r="C6" s="4" t="s">
        <v>66</v>
      </c>
      <c r="D6" s="26">
        <f>IF($H$3="","",EDATE($H$3,0))</f>
        <v>45642</v>
      </c>
      <c r="E6" s="26">
        <f>IF($H$3="","",EDATE($H$3,1))</f>
        <v>45673</v>
      </c>
      <c r="F6" s="26">
        <f>IF($H$3="","",EDATE($H$3,2))</f>
        <v>45704</v>
      </c>
      <c r="G6" s="26">
        <f>IF($H$3="","",EDATE($H$3,3))</f>
        <v>45732</v>
      </c>
      <c r="H6" s="26">
        <f>IF($H$3="","",EDATE($H$3,4))</f>
        <v>45763</v>
      </c>
      <c r="I6" s="26">
        <f>IF($H$3="","",EDATE($H$3,5))</f>
        <v>45793</v>
      </c>
      <c r="J6" s="26">
        <f>IF($H$3="","",EDATE($H$3,6))</f>
        <v>45824</v>
      </c>
      <c r="K6" s="26">
        <f>IF($H$3="","",EDATE($H$3,7))</f>
        <v>45854</v>
      </c>
      <c r="L6" s="26">
        <f>IF($H$3="","",EDATE($H$3,8))</f>
        <v>45885</v>
      </c>
      <c r="M6" s="26">
        <f>IF($H$3="","",EDATE($H$3,9))</f>
        <v>45916</v>
      </c>
      <c r="N6" s="26">
        <f>IF($H$3="","",EDATE($H$3,10))</f>
        <v>45946</v>
      </c>
      <c r="O6" s="26">
        <f>IF($H$3="","",EDATE($H$3,11))</f>
        <v>45977</v>
      </c>
      <c r="P6" s="26">
        <f>IF($H$3="","",EDATE($H$3,12))</f>
        <v>46007</v>
      </c>
      <c r="Q6" s="26">
        <f>IF($H$3="","",EDATE($H$3,13))</f>
        <v>46038</v>
      </c>
      <c r="R6" s="26">
        <f>IF($H$3="","",EDATE($H$3,14))</f>
        <v>46069</v>
      </c>
      <c r="S6" s="26">
        <f>IF($H$3="","",EDATE($H$3,15))</f>
        <v>46097</v>
      </c>
      <c r="T6" s="26">
        <f>IF($H$3="","",EDATE($H$3,16))</f>
        <v>46128</v>
      </c>
      <c r="U6" s="26">
        <f>IF($H$3="","",EDATE($H$3,17))</f>
        <v>46158</v>
      </c>
      <c r="V6" s="26">
        <f>IF($H$3="","",EDATE($H$3,18))</f>
        <v>46189</v>
      </c>
      <c r="W6" s="26">
        <f>IF($H$3="","",EDATE($H$3,19))</f>
        <v>46219</v>
      </c>
      <c r="X6" s="26">
        <f>IF($H$3="","",EDATE($H$3,20))</f>
        <v>46250</v>
      </c>
      <c r="Y6" s="26">
        <f>IF($H$3="","",EDATE($H$3,21))</f>
        <v>46281</v>
      </c>
      <c r="Z6" s="26">
        <f>IF($H$3="","",EDATE($H$3,22))</f>
        <v>46311</v>
      </c>
      <c r="AA6" s="26">
        <f>IF($H$3="","",EDATE($H$3,23))</f>
        <v>46342</v>
      </c>
      <c r="AB6" s="21"/>
    </row>
    <row r="7" spans="1:29" x14ac:dyDescent="0.25">
      <c r="A7" s="4"/>
      <c r="B7" s="4"/>
      <c r="C7" s="4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9" x14ac:dyDescent="0.25">
      <c r="A8" s="5" t="s">
        <v>67</v>
      </c>
      <c r="B8" s="4" t="s">
        <v>68</v>
      </c>
      <c r="C8" s="4" t="s">
        <v>69</v>
      </c>
      <c r="D8" s="27" t="s">
        <v>116</v>
      </c>
      <c r="E8" s="27" t="s">
        <v>116</v>
      </c>
      <c r="F8" s="27" t="s">
        <v>116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2" t="str">
        <f t="shared" ref="AB8:AB37" si="0">IF(COUNTIF(D8:AA8,"○")+COUNTIF(D8:AA8,"✓")=0,"",COUNTIF(D8:AA8,"✓")/(COUNTIF(D8:AA8,"○")+COUNTIF(D8:AA8,"✓")))</f>
        <v/>
      </c>
    </row>
    <row r="9" spans="1:29" x14ac:dyDescent="0.25">
      <c r="A9" s="5" t="s">
        <v>71</v>
      </c>
      <c r="B9" s="4" t="s">
        <v>68</v>
      </c>
      <c r="C9" s="4" t="s">
        <v>69</v>
      </c>
      <c r="D9" s="27" t="s">
        <v>116</v>
      </c>
      <c r="E9" s="27" t="s">
        <v>116</v>
      </c>
      <c r="F9" s="27" t="s">
        <v>116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2" t="str">
        <f t="shared" si="0"/>
        <v/>
      </c>
    </row>
    <row r="10" spans="1:29" ht="16.5" customHeight="1" x14ac:dyDescent="0.25">
      <c r="A10" s="5" t="s">
        <v>72</v>
      </c>
      <c r="B10" s="4" t="s">
        <v>68</v>
      </c>
      <c r="C10" s="4" t="s">
        <v>69</v>
      </c>
      <c r="D10" s="27" t="s">
        <v>116</v>
      </c>
      <c r="E10" s="27" t="s">
        <v>116</v>
      </c>
      <c r="F10" s="27" t="s">
        <v>116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2" t="str">
        <f t="shared" si="0"/>
        <v/>
      </c>
    </row>
    <row r="11" spans="1:29" x14ac:dyDescent="0.25">
      <c r="A11" s="5" t="s">
        <v>73</v>
      </c>
      <c r="B11" s="4" t="s">
        <v>68</v>
      </c>
      <c r="C11" s="4" t="s">
        <v>69</v>
      </c>
      <c r="D11" s="27" t="s">
        <v>116</v>
      </c>
      <c r="E11" s="27" t="s">
        <v>116</v>
      </c>
      <c r="F11" s="27" t="s">
        <v>116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2" t="str">
        <f t="shared" si="0"/>
        <v/>
      </c>
    </row>
    <row r="12" spans="1:29" x14ac:dyDescent="0.25">
      <c r="A12" s="5" t="s">
        <v>74</v>
      </c>
      <c r="B12" s="4" t="s">
        <v>68</v>
      </c>
      <c r="C12" s="4" t="s">
        <v>69</v>
      </c>
      <c r="D12" s="27" t="s">
        <v>116</v>
      </c>
      <c r="E12" s="27" t="s">
        <v>116</v>
      </c>
      <c r="F12" s="27" t="s">
        <v>116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2" t="str">
        <f t="shared" si="0"/>
        <v/>
      </c>
    </row>
    <row r="13" spans="1:29" x14ac:dyDescent="0.25">
      <c r="A13" s="6" t="s">
        <v>75</v>
      </c>
      <c r="B13" s="4" t="s">
        <v>76</v>
      </c>
      <c r="C13" s="4" t="s">
        <v>69</v>
      </c>
      <c r="D13" s="27" t="s">
        <v>116</v>
      </c>
      <c r="E13" s="27" t="s">
        <v>116</v>
      </c>
      <c r="F13" s="27" t="s">
        <v>116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2" t="str">
        <f t="shared" si="0"/>
        <v/>
      </c>
    </row>
    <row r="14" spans="1:29" x14ac:dyDescent="0.25">
      <c r="A14" s="7" t="s">
        <v>77</v>
      </c>
      <c r="B14" s="4" t="s">
        <v>78</v>
      </c>
      <c r="C14" s="4" t="s">
        <v>79</v>
      </c>
      <c r="D14" s="21"/>
      <c r="E14" s="21"/>
      <c r="F14" s="21"/>
      <c r="G14" s="27" t="s">
        <v>116</v>
      </c>
      <c r="H14" s="27" t="s">
        <v>116</v>
      </c>
      <c r="I14" s="27" t="s">
        <v>116</v>
      </c>
      <c r="J14" s="27" t="s">
        <v>116</v>
      </c>
      <c r="K14" s="27" t="s">
        <v>116</v>
      </c>
      <c r="L14" s="27" t="s">
        <v>116</v>
      </c>
      <c r="M14" s="27" t="s">
        <v>116</v>
      </c>
      <c r="N14" s="27" t="s">
        <v>116</v>
      </c>
      <c r="O14" s="27" t="s">
        <v>116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2" t="str">
        <f t="shared" si="0"/>
        <v/>
      </c>
    </row>
    <row r="15" spans="1:29" x14ac:dyDescent="0.25">
      <c r="A15" s="7" t="s">
        <v>80</v>
      </c>
      <c r="B15" s="4" t="s">
        <v>78</v>
      </c>
      <c r="C15" s="4" t="s">
        <v>79</v>
      </c>
      <c r="D15" s="21"/>
      <c r="E15" s="21"/>
      <c r="F15" s="21"/>
      <c r="G15" s="27" t="s">
        <v>116</v>
      </c>
      <c r="H15" s="27" t="s">
        <v>116</v>
      </c>
      <c r="I15" s="27" t="s">
        <v>116</v>
      </c>
      <c r="J15" s="27" t="s">
        <v>116</v>
      </c>
      <c r="K15" s="27" t="s">
        <v>116</v>
      </c>
      <c r="L15" s="27" t="s">
        <v>116</v>
      </c>
      <c r="M15" s="27" t="s">
        <v>116</v>
      </c>
      <c r="N15" s="27" t="s">
        <v>116</v>
      </c>
      <c r="O15" s="27" t="s">
        <v>116</v>
      </c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2" t="str">
        <f t="shared" si="0"/>
        <v/>
      </c>
    </row>
    <row r="16" spans="1:29" x14ac:dyDescent="0.25">
      <c r="A16" s="7" t="s">
        <v>81</v>
      </c>
      <c r="B16" s="4" t="s">
        <v>78</v>
      </c>
      <c r="C16" s="4" t="s">
        <v>79</v>
      </c>
      <c r="D16" s="21"/>
      <c r="E16" s="21"/>
      <c r="F16" s="21"/>
      <c r="G16" s="27" t="s">
        <v>116</v>
      </c>
      <c r="H16" s="27" t="s">
        <v>116</v>
      </c>
      <c r="I16" s="27" t="s">
        <v>116</v>
      </c>
      <c r="J16" s="27" t="s">
        <v>116</v>
      </c>
      <c r="K16" s="27" t="s">
        <v>116</v>
      </c>
      <c r="L16" s="27" t="s">
        <v>116</v>
      </c>
      <c r="M16" s="27" t="s">
        <v>116</v>
      </c>
      <c r="N16" s="27" t="s">
        <v>116</v>
      </c>
      <c r="O16" s="27" t="s">
        <v>116</v>
      </c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2" t="str">
        <f t="shared" si="0"/>
        <v/>
      </c>
    </row>
    <row r="17" spans="1:28" ht="31.5" customHeight="1" x14ac:dyDescent="0.25">
      <c r="A17" s="7" t="s">
        <v>82</v>
      </c>
      <c r="B17" s="4" t="s">
        <v>78</v>
      </c>
      <c r="C17" s="4" t="s">
        <v>79</v>
      </c>
      <c r="D17" s="21"/>
      <c r="E17" s="21"/>
      <c r="F17" s="21"/>
      <c r="G17" s="27" t="s">
        <v>116</v>
      </c>
      <c r="H17" s="27" t="s">
        <v>116</v>
      </c>
      <c r="I17" s="27" t="s">
        <v>116</v>
      </c>
      <c r="J17" s="27" t="s">
        <v>116</v>
      </c>
      <c r="K17" s="27" t="s">
        <v>116</v>
      </c>
      <c r="L17" s="27" t="s">
        <v>116</v>
      </c>
      <c r="M17" s="27" t="s">
        <v>116</v>
      </c>
      <c r="N17" s="27" t="s">
        <v>116</v>
      </c>
      <c r="O17" s="27" t="s">
        <v>116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2" t="str">
        <f t="shared" si="0"/>
        <v/>
      </c>
    </row>
    <row r="18" spans="1:28" x14ac:dyDescent="0.25">
      <c r="A18" s="7" t="s">
        <v>83</v>
      </c>
      <c r="B18" s="4" t="s">
        <v>78</v>
      </c>
      <c r="C18" s="4" t="s">
        <v>79</v>
      </c>
      <c r="D18" s="21"/>
      <c r="E18" s="21"/>
      <c r="F18" s="21"/>
      <c r="G18" s="27" t="s">
        <v>116</v>
      </c>
      <c r="H18" s="27" t="s">
        <v>116</v>
      </c>
      <c r="I18" s="27" t="s">
        <v>116</v>
      </c>
      <c r="J18" s="27" t="s">
        <v>116</v>
      </c>
      <c r="K18" s="27" t="s">
        <v>116</v>
      </c>
      <c r="L18" s="27" t="s">
        <v>116</v>
      </c>
      <c r="M18" s="27" t="s">
        <v>116</v>
      </c>
      <c r="N18" s="27" t="s">
        <v>116</v>
      </c>
      <c r="O18" s="27" t="s">
        <v>116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2" t="str">
        <f t="shared" si="0"/>
        <v/>
      </c>
    </row>
    <row r="19" spans="1:28" x14ac:dyDescent="0.25">
      <c r="A19" s="6" t="s">
        <v>84</v>
      </c>
      <c r="B19" s="4" t="s">
        <v>76</v>
      </c>
      <c r="C19" s="4" t="s">
        <v>79</v>
      </c>
      <c r="D19" s="21"/>
      <c r="E19" s="21"/>
      <c r="F19" s="21"/>
      <c r="G19" s="27" t="s">
        <v>116</v>
      </c>
      <c r="H19" s="27" t="s">
        <v>116</v>
      </c>
      <c r="I19" s="27" t="s">
        <v>116</v>
      </c>
      <c r="J19" s="27" t="s">
        <v>116</v>
      </c>
      <c r="K19" s="27" t="s">
        <v>116</v>
      </c>
      <c r="L19" s="27" t="s">
        <v>116</v>
      </c>
      <c r="M19" s="27" t="s">
        <v>116</v>
      </c>
      <c r="N19" s="27" t="s">
        <v>116</v>
      </c>
      <c r="O19" s="27" t="s">
        <v>116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2" t="str">
        <f t="shared" si="0"/>
        <v/>
      </c>
    </row>
    <row r="20" spans="1:28" x14ac:dyDescent="0.25">
      <c r="A20" s="7" t="s">
        <v>85</v>
      </c>
      <c r="B20" s="4" t="s">
        <v>78</v>
      </c>
      <c r="C20" s="4" t="s">
        <v>86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7" t="s">
        <v>116</v>
      </c>
      <c r="Q20" s="27" t="s">
        <v>116</v>
      </c>
      <c r="R20" s="27" t="s">
        <v>116</v>
      </c>
      <c r="S20" s="27" t="s">
        <v>116</v>
      </c>
      <c r="T20" s="27" t="s">
        <v>116</v>
      </c>
      <c r="U20" s="27" t="s">
        <v>116</v>
      </c>
      <c r="V20" s="27" t="s">
        <v>116</v>
      </c>
      <c r="W20" s="27" t="s">
        <v>116</v>
      </c>
      <c r="X20" s="27" t="s">
        <v>70</v>
      </c>
      <c r="Y20" s="27" t="s">
        <v>70</v>
      </c>
      <c r="Z20" s="27" t="s">
        <v>70</v>
      </c>
      <c r="AA20" s="27" t="s">
        <v>70</v>
      </c>
      <c r="AB20" s="22" t="str">
        <f t="shared" si="0"/>
        <v/>
      </c>
    </row>
    <row r="21" spans="1:28" x14ac:dyDescent="0.25">
      <c r="A21" s="7" t="s">
        <v>87</v>
      </c>
      <c r="B21" s="4" t="s">
        <v>78</v>
      </c>
      <c r="C21" s="4" t="s">
        <v>86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7" t="s">
        <v>116</v>
      </c>
      <c r="Q21" s="27" t="s">
        <v>116</v>
      </c>
      <c r="R21" s="27" t="s">
        <v>116</v>
      </c>
      <c r="S21" s="27" t="s">
        <v>116</v>
      </c>
      <c r="T21" s="27" t="s">
        <v>116</v>
      </c>
      <c r="U21" s="27" t="s">
        <v>116</v>
      </c>
      <c r="V21" s="27" t="s">
        <v>116</v>
      </c>
      <c r="W21" s="27" t="s">
        <v>116</v>
      </c>
      <c r="X21" s="27" t="s">
        <v>70</v>
      </c>
      <c r="Y21" s="27" t="s">
        <v>70</v>
      </c>
      <c r="Z21" s="27" t="s">
        <v>70</v>
      </c>
      <c r="AA21" s="27" t="s">
        <v>70</v>
      </c>
      <c r="AB21" s="22" t="str">
        <f t="shared" si="0"/>
        <v/>
      </c>
    </row>
    <row r="22" spans="1:28" x14ac:dyDescent="0.25">
      <c r="A22" s="7" t="s">
        <v>88</v>
      </c>
      <c r="B22" s="4" t="s">
        <v>78</v>
      </c>
      <c r="C22" s="4" t="s">
        <v>86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7" t="s">
        <v>116</v>
      </c>
      <c r="Q22" s="27" t="s">
        <v>116</v>
      </c>
      <c r="R22" s="27" t="s">
        <v>116</v>
      </c>
      <c r="S22" s="27" t="s">
        <v>116</v>
      </c>
      <c r="T22" s="27" t="s">
        <v>116</v>
      </c>
      <c r="U22" s="27" t="s">
        <v>116</v>
      </c>
      <c r="V22" s="27" t="s">
        <v>116</v>
      </c>
      <c r="W22" s="27" t="s">
        <v>116</v>
      </c>
      <c r="X22" s="27" t="s">
        <v>70</v>
      </c>
      <c r="Y22" s="27" t="s">
        <v>70</v>
      </c>
      <c r="Z22" s="27" t="s">
        <v>70</v>
      </c>
      <c r="AA22" s="27" t="s">
        <v>70</v>
      </c>
      <c r="AB22" s="22" t="str">
        <f t="shared" si="0"/>
        <v/>
      </c>
    </row>
    <row r="23" spans="1:28" x14ac:dyDescent="0.25">
      <c r="A23" s="7" t="s">
        <v>89</v>
      </c>
      <c r="B23" s="4" t="s">
        <v>78</v>
      </c>
      <c r="C23" s="4" t="s">
        <v>86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7" t="s">
        <v>116</v>
      </c>
      <c r="Q23" s="27" t="s">
        <v>116</v>
      </c>
      <c r="R23" s="27" t="s">
        <v>116</v>
      </c>
      <c r="S23" s="27" t="s">
        <v>116</v>
      </c>
      <c r="T23" s="27" t="s">
        <v>116</v>
      </c>
      <c r="U23" s="27" t="s">
        <v>116</v>
      </c>
      <c r="V23" s="27" t="s">
        <v>116</v>
      </c>
      <c r="W23" s="27" t="s">
        <v>116</v>
      </c>
      <c r="X23" s="27" t="s">
        <v>70</v>
      </c>
      <c r="Y23" s="27" t="s">
        <v>70</v>
      </c>
      <c r="Z23" s="27" t="s">
        <v>70</v>
      </c>
      <c r="AA23" s="27" t="s">
        <v>70</v>
      </c>
      <c r="AB23" s="22" t="str">
        <f t="shared" si="0"/>
        <v/>
      </c>
    </row>
    <row r="24" spans="1:28" x14ac:dyDescent="0.25">
      <c r="A24" s="7" t="s">
        <v>90</v>
      </c>
      <c r="B24" s="4" t="s">
        <v>78</v>
      </c>
      <c r="C24" s="4" t="s">
        <v>86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7" t="s">
        <v>116</v>
      </c>
      <c r="Q24" s="27" t="s">
        <v>116</v>
      </c>
      <c r="R24" s="27" t="s">
        <v>116</v>
      </c>
      <c r="S24" s="27" t="s">
        <v>116</v>
      </c>
      <c r="T24" s="27" t="s">
        <v>116</v>
      </c>
      <c r="U24" s="27" t="s">
        <v>116</v>
      </c>
      <c r="V24" s="27" t="s">
        <v>116</v>
      </c>
      <c r="W24" s="27" t="s">
        <v>116</v>
      </c>
      <c r="X24" s="27" t="s">
        <v>70</v>
      </c>
      <c r="Y24" s="27" t="s">
        <v>70</v>
      </c>
      <c r="Z24" s="27" t="s">
        <v>70</v>
      </c>
      <c r="AA24" s="27" t="s">
        <v>70</v>
      </c>
      <c r="AB24" s="22" t="str">
        <f t="shared" si="0"/>
        <v/>
      </c>
    </row>
    <row r="25" spans="1:28" x14ac:dyDescent="0.25">
      <c r="A25" s="7" t="s">
        <v>91</v>
      </c>
      <c r="B25" s="4" t="s">
        <v>78</v>
      </c>
      <c r="C25" s="4" t="s">
        <v>86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7" t="s">
        <v>116</v>
      </c>
      <c r="Q25" s="27" t="s">
        <v>116</v>
      </c>
      <c r="R25" s="27" t="s">
        <v>116</v>
      </c>
      <c r="S25" s="27" t="s">
        <v>116</v>
      </c>
      <c r="T25" s="27" t="s">
        <v>116</v>
      </c>
      <c r="U25" s="27" t="s">
        <v>116</v>
      </c>
      <c r="V25" s="27" t="s">
        <v>116</v>
      </c>
      <c r="W25" s="27" t="s">
        <v>116</v>
      </c>
      <c r="X25" s="27" t="s">
        <v>70</v>
      </c>
      <c r="Y25" s="27" t="s">
        <v>70</v>
      </c>
      <c r="Z25" s="27" t="s">
        <v>70</v>
      </c>
      <c r="AA25" s="27" t="s">
        <v>70</v>
      </c>
      <c r="AB25" s="22" t="str">
        <f t="shared" si="0"/>
        <v/>
      </c>
    </row>
    <row r="26" spans="1:28" x14ac:dyDescent="0.25">
      <c r="A26" s="7" t="s">
        <v>92</v>
      </c>
      <c r="B26" s="4" t="s">
        <v>78</v>
      </c>
      <c r="C26" s="4" t="s">
        <v>86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7" t="s">
        <v>116</v>
      </c>
      <c r="Q26" s="27" t="s">
        <v>116</v>
      </c>
      <c r="R26" s="27" t="s">
        <v>116</v>
      </c>
      <c r="S26" s="27" t="s">
        <v>116</v>
      </c>
      <c r="T26" s="27" t="s">
        <v>116</v>
      </c>
      <c r="U26" s="27" t="s">
        <v>116</v>
      </c>
      <c r="V26" s="27" t="s">
        <v>116</v>
      </c>
      <c r="W26" s="27" t="s">
        <v>116</v>
      </c>
      <c r="X26" s="27" t="s">
        <v>70</v>
      </c>
      <c r="Y26" s="27" t="s">
        <v>70</v>
      </c>
      <c r="Z26" s="27" t="s">
        <v>70</v>
      </c>
      <c r="AA26" s="27" t="s">
        <v>70</v>
      </c>
      <c r="AB26" s="22" t="str">
        <f t="shared" si="0"/>
        <v/>
      </c>
    </row>
    <row r="27" spans="1:28" x14ac:dyDescent="0.25">
      <c r="A27" s="7" t="s">
        <v>93</v>
      </c>
      <c r="B27" s="4" t="s">
        <v>78</v>
      </c>
      <c r="C27" s="4" t="s">
        <v>86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7" t="s">
        <v>116</v>
      </c>
      <c r="Q27" s="27" t="s">
        <v>116</v>
      </c>
      <c r="R27" s="27" t="s">
        <v>116</v>
      </c>
      <c r="S27" s="27" t="s">
        <v>116</v>
      </c>
      <c r="T27" s="27" t="s">
        <v>116</v>
      </c>
      <c r="U27" s="27" t="s">
        <v>116</v>
      </c>
      <c r="V27" s="27" t="s">
        <v>116</v>
      </c>
      <c r="W27" s="27" t="s">
        <v>116</v>
      </c>
      <c r="X27" s="27" t="s">
        <v>70</v>
      </c>
      <c r="Y27" s="27" t="s">
        <v>70</v>
      </c>
      <c r="Z27" s="27" t="s">
        <v>70</v>
      </c>
      <c r="AA27" s="27" t="s">
        <v>70</v>
      </c>
      <c r="AB27" s="22" t="str">
        <f t="shared" si="0"/>
        <v/>
      </c>
    </row>
    <row r="28" spans="1:28" x14ac:dyDescent="0.25">
      <c r="A28" s="7" t="s">
        <v>94</v>
      </c>
      <c r="B28" s="4" t="s">
        <v>78</v>
      </c>
      <c r="C28" s="4" t="s">
        <v>86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7" t="s">
        <v>116</v>
      </c>
      <c r="Q28" s="27" t="s">
        <v>116</v>
      </c>
      <c r="R28" s="27" t="s">
        <v>116</v>
      </c>
      <c r="S28" s="27" t="s">
        <v>116</v>
      </c>
      <c r="T28" s="27" t="s">
        <v>116</v>
      </c>
      <c r="U28" s="27" t="s">
        <v>116</v>
      </c>
      <c r="V28" s="27" t="s">
        <v>116</v>
      </c>
      <c r="W28" s="27" t="s">
        <v>116</v>
      </c>
      <c r="X28" s="27" t="s">
        <v>70</v>
      </c>
      <c r="Y28" s="27" t="s">
        <v>70</v>
      </c>
      <c r="Z28" s="27" t="s">
        <v>70</v>
      </c>
      <c r="AA28" s="27" t="s">
        <v>70</v>
      </c>
      <c r="AB28" s="22" t="str">
        <f t="shared" si="0"/>
        <v/>
      </c>
    </row>
    <row r="29" spans="1:28" x14ac:dyDescent="0.25">
      <c r="A29" s="6" t="s">
        <v>95</v>
      </c>
      <c r="B29" s="4" t="s">
        <v>76</v>
      </c>
      <c r="C29" s="4" t="s">
        <v>86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7" t="s">
        <v>116</v>
      </c>
      <c r="Q29" s="27" t="s">
        <v>116</v>
      </c>
      <c r="R29" s="27" t="s">
        <v>116</v>
      </c>
      <c r="S29" s="27" t="s">
        <v>116</v>
      </c>
      <c r="T29" s="27" t="s">
        <v>116</v>
      </c>
      <c r="U29" s="27" t="s">
        <v>116</v>
      </c>
      <c r="V29" s="27" t="s">
        <v>116</v>
      </c>
      <c r="W29" s="27" t="s">
        <v>116</v>
      </c>
      <c r="X29" s="27" t="s">
        <v>70</v>
      </c>
      <c r="Y29" s="27" t="s">
        <v>70</v>
      </c>
      <c r="Z29" s="27" t="s">
        <v>70</v>
      </c>
      <c r="AA29" s="27" t="s">
        <v>70</v>
      </c>
      <c r="AB29" s="22" t="str">
        <f t="shared" si="0"/>
        <v/>
      </c>
    </row>
    <row r="30" spans="1:28" x14ac:dyDescent="0.25">
      <c r="A30" s="8" t="s">
        <v>96</v>
      </c>
      <c r="B30" s="4" t="s">
        <v>97</v>
      </c>
      <c r="C30" s="4" t="s">
        <v>98</v>
      </c>
      <c r="D30" s="21"/>
      <c r="E30" s="21"/>
      <c r="F30" s="27" t="s">
        <v>116</v>
      </c>
      <c r="G30" s="21"/>
      <c r="H30" s="21"/>
      <c r="I30" s="27" t="s">
        <v>116</v>
      </c>
      <c r="J30" s="21"/>
      <c r="K30" s="21"/>
      <c r="L30" s="27" t="s">
        <v>116</v>
      </c>
      <c r="M30" s="21"/>
      <c r="N30" s="21"/>
      <c r="O30" s="27" t="s">
        <v>116</v>
      </c>
      <c r="P30" s="21"/>
      <c r="Q30" s="21"/>
      <c r="R30" s="27" t="s">
        <v>116</v>
      </c>
      <c r="S30" s="21"/>
      <c r="T30" s="21"/>
      <c r="U30" s="27" t="s">
        <v>116</v>
      </c>
      <c r="V30" s="21"/>
      <c r="W30" s="21"/>
      <c r="X30" s="27" t="s">
        <v>70</v>
      </c>
      <c r="Y30" s="21"/>
      <c r="Z30" s="21"/>
      <c r="AA30" s="27" t="s">
        <v>70</v>
      </c>
      <c r="AB30" s="22" t="str">
        <f t="shared" si="0"/>
        <v/>
      </c>
    </row>
    <row r="31" spans="1:28" x14ac:dyDescent="0.25">
      <c r="A31" s="8" t="s">
        <v>99</v>
      </c>
      <c r="B31" s="4" t="s">
        <v>100</v>
      </c>
      <c r="C31" s="4" t="s">
        <v>101</v>
      </c>
      <c r="D31" s="21"/>
      <c r="E31" s="21"/>
      <c r="F31" s="27" t="s">
        <v>116</v>
      </c>
      <c r="G31" s="21"/>
      <c r="H31" s="21"/>
      <c r="I31" s="27" t="s">
        <v>116</v>
      </c>
      <c r="J31" s="21"/>
      <c r="K31" s="21"/>
      <c r="L31" s="27" t="s">
        <v>116</v>
      </c>
      <c r="M31" s="21"/>
      <c r="N31" s="21"/>
      <c r="O31" s="27" t="s">
        <v>116</v>
      </c>
      <c r="P31" s="21"/>
      <c r="Q31" s="21"/>
      <c r="R31" s="27" t="s">
        <v>116</v>
      </c>
      <c r="S31" s="21"/>
      <c r="T31" s="21"/>
      <c r="U31" s="27" t="s">
        <v>116</v>
      </c>
      <c r="V31" s="21"/>
      <c r="W31" s="21"/>
      <c r="X31" s="27" t="s">
        <v>70</v>
      </c>
      <c r="Y31" s="21"/>
      <c r="Z31" s="21"/>
      <c r="AA31" s="27" t="s">
        <v>70</v>
      </c>
      <c r="AB31" s="22" t="str">
        <f t="shared" si="0"/>
        <v/>
      </c>
    </row>
    <row r="32" spans="1:28" x14ac:dyDescent="0.25">
      <c r="A32" s="8" t="s">
        <v>102</v>
      </c>
      <c r="B32" s="4" t="s">
        <v>100</v>
      </c>
      <c r="C32" s="4" t="s">
        <v>101</v>
      </c>
      <c r="D32" s="21"/>
      <c r="E32" s="21"/>
      <c r="F32" s="27" t="s">
        <v>116</v>
      </c>
      <c r="G32" s="21"/>
      <c r="H32" s="21"/>
      <c r="I32" s="27" t="s">
        <v>116</v>
      </c>
      <c r="J32" s="21"/>
      <c r="K32" s="21"/>
      <c r="L32" s="27" t="s">
        <v>116</v>
      </c>
      <c r="M32" s="21"/>
      <c r="N32" s="21"/>
      <c r="O32" s="27" t="s">
        <v>116</v>
      </c>
      <c r="P32" s="21"/>
      <c r="Q32" s="21"/>
      <c r="R32" s="27" t="s">
        <v>116</v>
      </c>
      <c r="S32" s="21"/>
      <c r="T32" s="21"/>
      <c r="U32" s="27" t="s">
        <v>116</v>
      </c>
      <c r="V32" s="21"/>
      <c r="W32" s="21"/>
      <c r="X32" s="27" t="s">
        <v>70</v>
      </c>
      <c r="Y32" s="21"/>
      <c r="Z32" s="21"/>
      <c r="AA32" s="27" t="s">
        <v>70</v>
      </c>
      <c r="AB32" s="22" t="str">
        <f t="shared" si="0"/>
        <v/>
      </c>
    </row>
    <row r="33" spans="1:28" x14ac:dyDescent="0.25">
      <c r="A33" s="8" t="s">
        <v>103</v>
      </c>
      <c r="B33" s="4" t="s">
        <v>100</v>
      </c>
      <c r="C33" s="4" t="s">
        <v>101</v>
      </c>
      <c r="D33" s="21"/>
      <c r="E33" s="21"/>
      <c r="F33" s="27" t="s">
        <v>116</v>
      </c>
      <c r="G33" s="21"/>
      <c r="H33" s="21"/>
      <c r="I33" s="27" t="s">
        <v>116</v>
      </c>
      <c r="J33" s="21"/>
      <c r="K33" s="21"/>
      <c r="L33" s="27" t="s">
        <v>116</v>
      </c>
      <c r="M33" s="21"/>
      <c r="N33" s="21"/>
      <c r="O33" s="27" t="s">
        <v>116</v>
      </c>
      <c r="P33" s="21"/>
      <c r="Q33" s="21"/>
      <c r="R33" s="27" t="s">
        <v>116</v>
      </c>
      <c r="S33" s="21"/>
      <c r="T33" s="21"/>
      <c r="U33" s="27" t="s">
        <v>116</v>
      </c>
      <c r="V33" s="21"/>
      <c r="W33" s="21"/>
      <c r="X33" s="27" t="s">
        <v>70</v>
      </c>
      <c r="Y33" s="21"/>
      <c r="Z33" s="21"/>
      <c r="AA33" s="27" t="s">
        <v>70</v>
      </c>
      <c r="AB33" s="22" t="str">
        <f t="shared" si="0"/>
        <v/>
      </c>
    </row>
    <row r="34" spans="1:28" x14ac:dyDescent="0.25">
      <c r="A34" s="8" t="s">
        <v>104</v>
      </c>
      <c r="B34" s="4" t="s">
        <v>105</v>
      </c>
      <c r="C34" s="4" t="s">
        <v>106</v>
      </c>
      <c r="D34" s="21"/>
      <c r="E34" s="21"/>
      <c r="F34" s="27" t="s">
        <v>116</v>
      </c>
      <c r="G34" s="21"/>
      <c r="H34" s="21"/>
      <c r="I34" s="27" t="s">
        <v>116</v>
      </c>
      <c r="J34" s="21"/>
      <c r="K34" s="21"/>
      <c r="L34" s="21"/>
      <c r="M34" s="21"/>
      <c r="N34" s="21"/>
      <c r="O34" s="27" t="s">
        <v>116</v>
      </c>
      <c r="P34" s="21"/>
      <c r="Q34" s="21"/>
      <c r="R34" s="21"/>
      <c r="S34" s="21"/>
      <c r="T34" s="21"/>
      <c r="U34" s="27" t="s">
        <v>116</v>
      </c>
      <c r="V34" s="21"/>
      <c r="W34" s="21"/>
      <c r="X34" s="21"/>
      <c r="Y34" s="21"/>
      <c r="Z34" s="21"/>
      <c r="AA34" s="27" t="s">
        <v>70</v>
      </c>
      <c r="AB34" s="22" t="str">
        <f t="shared" si="0"/>
        <v/>
      </c>
    </row>
    <row r="35" spans="1:28" x14ac:dyDescent="0.25">
      <c r="A35" s="6" t="s">
        <v>107</v>
      </c>
      <c r="B35" s="4" t="s">
        <v>108</v>
      </c>
      <c r="C35" s="4" t="s">
        <v>109</v>
      </c>
      <c r="D35" s="27" t="s">
        <v>116</v>
      </c>
      <c r="E35" s="27" t="s">
        <v>116</v>
      </c>
      <c r="F35" s="27" t="s">
        <v>116</v>
      </c>
      <c r="G35" s="27" t="s">
        <v>116</v>
      </c>
      <c r="H35" s="27" t="s">
        <v>116</v>
      </c>
      <c r="I35" s="27" t="s">
        <v>116</v>
      </c>
      <c r="J35" s="27" t="s">
        <v>116</v>
      </c>
      <c r="K35" s="27" t="s">
        <v>116</v>
      </c>
      <c r="L35" s="27" t="s">
        <v>116</v>
      </c>
      <c r="M35" s="27" t="s">
        <v>116</v>
      </c>
      <c r="N35" s="27" t="s">
        <v>116</v>
      </c>
      <c r="O35" s="27" t="s">
        <v>116</v>
      </c>
      <c r="P35" s="27" t="s">
        <v>116</v>
      </c>
      <c r="Q35" s="27" t="s">
        <v>116</v>
      </c>
      <c r="R35" s="27" t="s">
        <v>116</v>
      </c>
      <c r="S35" s="27" t="s">
        <v>116</v>
      </c>
      <c r="T35" s="27" t="s">
        <v>116</v>
      </c>
      <c r="U35" s="27" t="s">
        <v>116</v>
      </c>
      <c r="V35" s="27" t="s">
        <v>116</v>
      </c>
      <c r="W35" s="27" t="s">
        <v>116</v>
      </c>
      <c r="X35" s="27" t="s">
        <v>70</v>
      </c>
      <c r="Y35" s="27" t="s">
        <v>70</v>
      </c>
      <c r="Z35" s="27" t="s">
        <v>70</v>
      </c>
      <c r="AA35" s="27" t="s">
        <v>70</v>
      </c>
      <c r="AB35" s="22" t="str">
        <f t="shared" si="0"/>
        <v/>
      </c>
    </row>
    <row r="36" spans="1:28" x14ac:dyDescent="0.25">
      <c r="A36" s="6" t="s">
        <v>110</v>
      </c>
      <c r="B36" s="4" t="s">
        <v>111</v>
      </c>
      <c r="C36" s="4" t="s">
        <v>112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7" t="s">
        <v>70</v>
      </c>
      <c r="Z36" s="27" t="s">
        <v>70</v>
      </c>
      <c r="AA36" s="27" t="s">
        <v>70</v>
      </c>
      <c r="AB36" s="22" t="str">
        <f t="shared" si="0"/>
        <v/>
      </c>
    </row>
    <row r="37" spans="1:28" x14ac:dyDescent="0.25">
      <c r="A37" s="6" t="s">
        <v>113</v>
      </c>
      <c r="B37" s="4" t="s">
        <v>111</v>
      </c>
      <c r="C37" s="4" t="s">
        <v>63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7" t="s">
        <v>70</v>
      </c>
      <c r="AB37" s="22" t="str">
        <f t="shared" si="0"/>
        <v/>
      </c>
    </row>
    <row r="38" spans="1:28" x14ac:dyDescent="0.25">
      <c r="A38" s="4"/>
      <c r="B38" s="4"/>
      <c r="C38" s="4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spans="1:28" x14ac:dyDescent="0.25">
      <c r="A39" s="9" t="s">
        <v>114</v>
      </c>
      <c r="B39" s="4"/>
      <c r="C39" s="4"/>
      <c r="D39" s="21" t="str">
        <f ca="1">IF(AND($H$3&lt;&gt;"",EDATE($H$3,0)&lt;=TODAY(),EDATE($H$3,1)&gt;TODAY()),"●","")</f>
        <v/>
      </c>
      <c r="E39" s="21" t="str">
        <f ca="1">IF(AND($H$3&lt;&gt;"",EDATE($H$3,1)&lt;=TODAY(),EDATE($H$3,2)&gt;TODAY()),"●","")</f>
        <v/>
      </c>
      <c r="F39" s="21" t="str">
        <f ca="1">IF(AND($H$3&lt;&gt;"",EDATE($H$3,2)&lt;=TODAY(),EDATE($H$3,3)&gt;TODAY()),"●","")</f>
        <v/>
      </c>
      <c r="G39" s="21" t="str">
        <f ca="1">IF(AND($H$3&lt;&gt;"",EDATE($H$3,3)&lt;=TODAY(),EDATE($H$3,4)&gt;TODAY()),"●","")</f>
        <v/>
      </c>
      <c r="H39" s="21" t="str">
        <f ca="1">IF(AND($H$3&lt;&gt;"",EDATE($H$3,4)&lt;=TODAY(),EDATE($H$3,5)&gt;TODAY()),"●","")</f>
        <v/>
      </c>
      <c r="I39" s="21" t="str">
        <f ca="1">IF(AND($H$3&lt;&gt;"",EDATE($H$3,5)&lt;=TODAY(),EDATE($H$3,6)&gt;TODAY()),"●","")</f>
        <v/>
      </c>
      <c r="J39" s="21" t="str">
        <f ca="1">IF(AND($H$3&lt;&gt;"",EDATE($H$3,6)&lt;=TODAY(),EDATE($H$3,7)&gt;TODAY()),"●","")</f>
        <v/>
      </c>
      <c r="K39" s="21" t="str">
        <f ca="1">IF(AND($H$3&lt;&gt;"",EDATE($H$3,7)&lt;=TODAY(),EDATE($H$3,8)&gt;TODAY()),"●","")</f>
        <v/>
      </c>
      <c r="L39" s="21" t="str">
        <f ca="1">IF(AND($H$3&lt;&gt;"",EDATE($H$3,8)&lt;=TODAY(),EDATE($H$3,9)&gt;TODAY()),"●","")</f>
        <v/>
      </c>
      <c r="M39" s="21" t="str">
        <f ca="1">IF(AND($H$3&lt;&gt;"",EDATE($H$3,9)&lt;=TODAY(),EDATE($H$3,10)&gt;TODAY()),"●","")</f>
        <v/>
      </c>
      <c r="N39" s="21" t="str">
        <f ca="1">IF(AND($H$3&lt;&gt;"",EDATE($H$3,10)&lt;=TODAY(),EDATE($H$3,11)&gt;TODAY()),"●","")</f>
        <v/>
      </c>
      <c r="O39" s="21" t="str">
        <f ca="1">IF(AND($H$3&lt;&gt;"",EDATE($H$3,11)&lt;=TODAY(),EDATE($H$3,12)&gt;TODAY()),"●","")</f>
        <v/>
      </c>
      <c r="P39" s="21" t="str">
        <f ca="1">IF(AND($H$3&lt;&gt;"",EDATE($H$3,12)&lt;=TODAY(),EDATE($H$3,13)&gt;TODAY()),"●","")</f>
        <v/>
      </c>
      <c r="Q39" s="21" t="str">
        <f ca="1">IF(AND($H$3&lt;&gt;"",EDATE($H$3,13)&lt;=TODAY(),EDATE($H$3,14)&gt;TODAY()),"●","")</f>
        <v/>
      </c>
      <c r="R39" s="21" t="str">
        <f ca="1">IF(AND($H$3&lt;&gt;"",EDATE($H$3,14)&lt;=TODAY(),EDATE($H$3,15)&gt;TODAY()),"●","")</f>
        <v/>
      </c>
      <c r="S39" s="21" t="str">
        <f ca="1">IF(AND($H$3&lt;&gt;"",EDATE($H$3,15)&lt;=TODAY(),EDATE($H$3,16)&gt;TODAY()),"●","")</f>
        <v/>
      </c>
      <c r="T39" s="21" t="str">
        <f ca="1">IF(AND($H$3&lt;&gt;"",EDATE($H$3,16)&lt;=TODAY(),EDATE($H$3,17)&gt;TODAY()),"●","")</f>
        <v/>
      </c>
      <c r="U39" s="21" t="str">
        <f ca="1">IF(AND($H$3&lt;&gt;"",EDATE($H$3,17)&lt;=TODAY(),EDATE($H$3,18)&gt;TODAY()),"●","")</f>
        <v/>
      </c>
      <c r="V39" s="21" t="str">
        <f ca="1">IF(AND($H$3&lt;&gt;"",EDATE($H$3,18)&lt;=TODAY(),EDATE($H$3,19)&gt;TODAY()),"●","")</f>
        <v/>
      </c>
      <c r="W39" s="21" t="str">
        <f ca="1">IF(AND($H$3&lt;&gt;"",EDATE($H$3,19)&lt;=TODAY(),EDATE($H$3,20)&gt;TODAY()),"●","")</f>
        <v/>
      </c>
      <c r="X39" s="21" t="str">
        <f ca="1">IF(AND($H$3&lt;&gt;"",EDATE($H$3,20)&lt;=TODAY(),EDATE($H$3,21)&gt;TODAY()),"●","")</f>
        <v>●</v>
      </c>
      <c r="Y39" s="21" t="str">
        <f ca="1">IF(AND($H$3&lt;&gt;"",EDATE($H$3,21)&lt;=TODAY(),EDATE($H$3,22)&gt;TODAY()),"●","")</f>
        <v/>
      </c>
      <c r="Z39" s="21" t="str">
        <f ca="1">IF(AND($H$3&lt;&gt;"",EDATE($H$3,22)&lt;=TODAY(),EDATE($H$3,23)&gt;TODAY()),"●","")</f>
        <v/>
      </c>
      <c r="AA39" s="21" t="str">
        <f ca="1">IF(AND($H$3&lt;&gt;"",EDATE($H$3,23)&lt;=TODAY(),EDATE($H$3,24)&gt;TODAY()),"●","")</f>
        <v/>
      </c>
      <c r="AB39" s="21"/>
    </row>
    <row r="41" spans="1:28" x14ac:dyDescent="0.25">
      <c r="A41" s="32" t="s">
        <v>115</v>
      </c>
      <c r="B41" s="29"/>
      <c r="C41" s="29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</sheetData>
  <autoFilter ref="A5:AB37" xr:uid="{00000000-0009-0000-0000-000003000000}"/>
  <mergeCells count="2">
    <mergeCell ref="A1:AC1"/>
    <mergeCell ref="A41:AB41"/>
  </mergeCells>
  <phoneticPr fontId="5" type="noConversion"/>
  <dataValidations count="1">
    <dataValidation type="list" allowBlank="1" sqref="D8:AA37" xr:uid="{00000000-0002-0000-0300-000000000000}">
      <formula1>"☐,☑"</formula1>
    </dataValidation>
  </dataValidation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C41"/>
  <sheetViews>
    <sheetView showGridLines="0" zoomScale="70" zoomScaleNormal="70" workbookViewId="0">
      <pane xSplit="3" ySplit="7" topLeftCell="D8" activePane="bottomRight" state="frozen"/>
      <selection pane="topRight"/>
      <selection pane="bottomLeft"/>
      <selection pane="bottomRight" activeCell="I30" sqref="I30:I34"/>
    </sheetView>
  </sheetViews>
  <sheetFormatPr defaultRowHeight="15.75" x14ac:dyDescent="0.25"/>
  <cols>
    <col min="1" max="1" width="34" style="16" customWidth="1"/>
    <col min="2" max="2" width="16" style="16" customWidth="1"/>
    <col min="3" max="3" width="22" style="16" customWidth="1"/>
    <col min="4" max="27" width="14" style="16" customWidth="1"/>
    <col min="28" max="28" width="12" style="16" customWidth="1"/>
  </cols>
  <sheetData>
    <row r="1" spans="1:29" ht="30" customHeight="1" x14ac:dyDescent="0.4">
      <c r="A1" s="31" t="s">
        <v>33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3" spans="1:29" ht="24" customHeight="1" x14ac:dyDescent="0.25">
      <c r="A3" s="14" t="s">
        <v>1</v>
      </c>
      <c r="B3" s="15" t="s">
        <v>15</v>
      </c>
      <c r="D3" s="14" t="s">
        <v>34</v>
      </c>
      <c r="E3" s="15" t="s">
        <v>16</v>
      </c>
      <c r="G3" s="14" t="s">
        <v>3</v>
      </c>
      <c r="H3" s="24">
        <v>45966</v>
      </c>
      <c r="J3" s="14" t="s">
        <v>35</v>
      </c>
      <c r="K3" s="25">
        <f>IF(H3="","",EDATE(H3,24)-1)</f>
        <v>46695</v>
      </c>
      <c r="M3" s="14" t="s">
        <v>36</v>
      </c>
      <c r="N3" s="13">
        <f ca="1">IF(H3="","",MAX(1,DATEDIF(H3,TODAY(),"m")+1))</f>
        <v>11</v>
      </c>
    </row>
    <row r="5" spans="1:29" x14ac:dyDescent="0.25">
      <c r="A5" s="2" t="s">
        <v>37</v>
      </c>
      <c r="B5" s="2" t="s">
        <v>38</v>
      </c>
      <c r="C5" s="2" t="s">
        <v>39</v>
      </c>
      <c r="D5" s="20" t="s">
        <v>40</v>
      </c>
      <c r="E5" s="20" t="s">
        <v>41</v>
      </c>
      <c r="F5" s="20" t="s">
        <v>42</v>
      </c>
      <c r="G5" s="20" t="s">
        <v>43</v>
      </c>
      <c r="H5" s="20" t="s">
        <v>44</v>
      </c>
      <c r="I5" s="20" t="s">
        <v>45</v>
      </c>
      <c r="J5" s="20" t="s">
        <v>46</v>
      </c>
      <c r="K5" s="20" t="s">
        <v>47</v>
      </c>
      <c r="L5" s="20" t="s">
        <v>48</v>
      </c>
      <c r="M5" s="20" t="s">
        <v>49</v>
      </c>
      <c r="N5" s="20" t="s">
        <v>50</v>
      </c>
      <c r="O5" s="20" t="s">
        <v>51</v>
      </c>
      <c r="P5" s="20" t="s">
        <v>52</v>
      </c>
      <c r="Q5" s="20" t="s">
        <v>53</v>
      </c>
      <c r="R5" s="20" t="s">
        <v>54</v>
      </c>
      <c r="S5" s="20" t="s">
        <v>55</v>
      </c>
      <c r="T5" s="20" t="s">
        <v>56</v>
      </c>
      <c r="U5" s="20" t="s">
        <v>57</v>
      </c>
      <c r="V5" s="20" t="s">
        <v>58</v>
      </c>
      <c r="W5" s="20" t="s">
        <v>59</v>
      </c>
      <c r="X5" s="20" t="s">
        <v>60</v>
      </c>
      <c r="Y5" s="20" t="s">
        <v>61</v>
      </c>
      <c r="Z5" s="20" t="s">
        <v>62</v>
      </c>
      <c r="AA5" s="20" t="s">
        <v>63</v>
      </c>
      <c r="AB5" s="20" t="s">
        <v>64</v>
      </c>
    </row>
    <row r="6" spans="1:29" x14ac:dyDescent="0.25">
      <c r="A6" s="3" t="s">
        <v>65</v>
      </c>
      <c r="B6" s="4"/>
      <c r="C6" s="4" t="s">
        <v>66</v>
      </c>
      <c r="D6" s="26">
        <f>IF($H$3="","",EDATE($H$3,0))</f>
        <v>45966</v>
      </c>
      <c r="E6" s="26">
        <f>IF($H$3="","",EDATE($H$3,1))</f>
        <v>45996</v>
      </c>
      <c r="F6" s="26">
        <f>IF($H$3="","",EDATE($H$3,2))</f>
        <v>46027</v>
      </c>
      <c r="G6" s="26">
        <f>IF($H$3="","",EDATE($H$3,3))</f>
        <v>46058</v>
      </c>
      <c r="H6" s="26">
        <f>IF($H$3="","",EDATE($H$3,4))</f>
        <v>46086</v>
      </c>
      <c r="I6" s="26">
        <f>IF($H$3="","",EDATE($H$3,5))</f>
        <v>46117</v>
      </c>
      <c r="J6" s="26">
        <f>IF($H$3="","",EDATE($H$3,6))</f>
        <v>46147</v>
      </c>
      <c r="K6" s="26">
        <f>IF($H$3="","",EDATE($H$3,7))</f>
        <v>46178</v>
      </c>
      <c r="L6" s="26">
        <f>IF($H$3="","",EDATE($H$3,8))</f>
        <v>46208</v>
      </c>
      <c r="M6" s="26">
        <f>IF($H$3="","",EDATE($H$3,9))</f>
        <v>46239</v>
      </c>
      <c r="N6" s="26">
        <f>IF($H$3="","",EDATE($H$3,10))</f>
        <v>46270</v>
      </c>
      <c r="O6" s="26">
        <f>IF($H$3="","",EDATE($H$3,11))</f>
        <v>46300</v>
      </c>
      <c r="P6" s="26">
        <f>IF($H$3="","",EDATE($H$3,12))</f>
        <v>46331</v>
      </c>
      <c r="Q6" s="26">
        <f>IF($H$3="","",EDATE($H$3,13))</f>
        <v>46361</v>
      </c>
      <c r="R6" s="26">
        <f>IF($H$3="","",EDATE($H$3,14))</f>
        <v>46392</v>
      </c>
      <c r="S6" s="26">
        <f>IF($H$3="","",EDATE($H$3,15))</f>
        <v>46423</v>
      </c>
      <c r="T6" s="26">
        <f>IF($H$3="","",EDATE($H$3,16))</f>
        <v>46451</v>
      </c>
      <c r="U6" s="26">
        <f>IF($H$3="","",EDATE($H$3,17))</f>
        <v>46482</v>
      </c>
      <c r="V6" s="26">
        <f>IF($H$3="","",EDATE($H$3,18))</f>
        <v>46512</v>
      </c>
      <c r="W6" s="26">
        <f>IF($H$3="","",EDATE($H$3,19))</f>
        <v>46543</v>
      </c>
      <c r="X6" s="26">
        <f>IF($H$3="","",EDATE($H$3,20))</f>
        <v>46573</v>
      </c>
      <c r="Y6" s="26">
        <f>IF($H$3="","",EDATE($H$3,21))</f>
        <v>46604</v>
      </c>
      <c r="Z6" s="26">
        <f>IF($H$3="","",EDATE($H$3,22))</f>
        <v>46635</v>
      </c>
      <c r="AA6" s="26">
        <f>IF($H$3="","",EDATE($H$3,23))</f>
        <v>46665</v>
      </c>
      <c r="AB6" s="21"/>
    </row>
    <row r="7" spans="1:29" x14ac:dyDescent="0.25">
      <c r="A7" s="4"/>
      <c r="B7" s="4"/>
      <c r="C7" s="4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9" x14ac:dyDescent="0.25">
      <c r="A8" s="5" t="s">
        <v>67</v>
      </c>
      <c r="B8" s="4" t="s">
        <v>68</v>
      </c>
      <c r="C8" s="4" t="s">
        <v>69</v>
      </c>
      <c r="D8" s="27" t="s">
        <v>116</v>
      </c>
      <c r="E8" s="27" t="s">
        <v>116</v>
      </c>
      <c r="F8" s="27" t="s">
        <v>116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2" t="str">
        <f t="shared" ref="AB8:AB37" si="0">IF(COUNTIF(D8:AA8,"○")+COUNTIF(D8:AA8,"✓")=0,"",COUNTIF(D8:AA8,"✓")/(COUNTIF(D8:AA8,"○")+COUNTIF(D8:AA8,"✓")))</f>
        <v/>
      </c>
    </row>
    <row r="9" spans="1:29" x14ac:dyDescent="0.25">
      <c r="A9" s="5" t="s">
        <v>71</v>
      </c>
      <c r="B9" s="4" t="s">
        <v>68</v>
      </c>
      <c r="C9" s="4" t="s">
        <v>69</v>
      </c>
      <c r="D9" s="27" t="s">
        <v>116</v>
      </c>
      <c r="E9" s="27" t="s">
        <v>116</v>
      </c>
      <c r="F9" s="27" t="s">
        <v>116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2" t="str">
        <f t="shared" si="0"/>
        <v/>
      </c>
    </row>
    <row r="10" spans="1:29" x14ac:dyDescent="0.25">
      <c r="A10" s="5" t="s">
        <v>72</v>
      </c>
      <c r="B10" s="4" t="s">
        <v>68</v>
      </c>
      <c r="C10" s="4" t="s">
        <v>69</v>
      </c>
      <c r="D10" s="27" t="s">
        <v>116</v>
      </c>
      <c r="E10" s="27" t="s">
        <v>116</v>
      </c>
      <c r="F10" s="27" t="s">
        <v>116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2" t="str">
        <f t="shared" si="0"/>
        <v/>
      </c>
    </row>
    <row r="11" spans="1:29" x14ac:dyDescent="0.25">
      <c r="A11" s="5" t="s">
        <v>73</v>
      </c>
      <c r="B11" s="4" t="s">
        <v>68</v>
      </c>
      <c r="C11" s="4" t="s">
        <v>69</v>
      </c>
      <c r="D11" s="27" t="s">
        <v>116</v>
      </c>
      <c r="E11" s="27" t="s">
        <v>116</v>
      </c>
      <c r="F11" s="27" t="s">
        <v>116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2" t="str">
        <f t="shared" si="0"/>
        <v/>
      </c>
    </row>
    <row r="12" spans="1:29" x14ac:dyDescent="0.25">
      <c r="A12" s="5" t="s">
        <v>74</v>
      </c>
      <c r="B12" s="4" t="s">
        <v>68</v>
      </c>
      <c r="C12" s="4" t="s">
        <v>69</v>
      </c>
      <c r="D12" s="27" t="s">
        <v>116</v>
      </c>
      <c r="E12" s="27" t="s">
        <v>116</v>
      </c>
      <c r="F12" s="27" t="s">
        <v>116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2" t="str">
        <f t="shared" si="0"/>
        <v/>
      </c>
    </row>
    <row r="13" spans="1:29" x14ac:dyDescent="0.25">
      <c r="A13" s="6" t="s">
        <v>75</v>
      </c>
      <c r="B13" s="4" t="s">
        <v>76</v>
      </c>
      <c r="C13" s="4" t="s">
        <v>69</v>
      </c>
      <c r="D13" s="27" t="s">
        <v>116</v>
      </c>
      <c r="E13" s="27" t="s">
        <v>116</v>
      </c>
      <c r="F13" s="27" t="s">
        <v>116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2" t="str">
        <f t="shared" si="0"/>
        <v/>
      </c>
    </row>
    <row r="14" spans="1:29" x14ac:dyDescent="0.25">
      <c r="A14" s="7" t="s">
        <v>77</v>
      </c>
      <c r="B14" s="4" t="s">
        <v>78</v>
      </c>
      <c r="C14" s="4" t="s">
        <v>79</v>
      </c>
      <c r="D14" s="21"/>
      <c r="E14" s="21"/>
      <c r="F14" s="21"/>
      <c r="G14" s="27" t="s">
        <v>116</v>
      </c>
      <c r="H14" s="27" t="s">
        <v>116</v>
      </c>
      <c r="I14" s="27" t="s">
        <v>116</v>
      </c>
      <c r="J14" s="27" t="s">
        <v>116</v>
      </c>
      <c r="K14" s="27" t="s">
        <v>116</v>
      </c>
      <c r="L14" s="27" t="s">
        <v>116</v>
      </c>
      <c r="M14" s="27" t="s">
        <v>116</v>
      </c>
      <c r="N14" s="27" t="s">
        <v>70</v>
      </c>
      <c r="O14" s="27" t="s">
        <v>70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2" t="str">
        <f t="shared" si="0"/>
        <v/>
      </c>
    </row>
    <row r="15" spans="1:29" x14ac:dyDescent="0.25">
      <c r="A15" s="7" t="s">
        <v>80</v>
      </c>
      <c r="B15" s="4" t="s">
        <v>78</v>
      </c>
      <c r="C15" s="4" t="s">
        <v>79</v>
      </c>
      <c r="D15" s="21"/>
      <c r="E15" s="21"/>
      <c r="F15" s="21"/>
      <c r="G15" s="27" t="s">
        <v>116</v>
      </c>
      <c r="H15" s="27" t="s">
        <v>116</v>
      </c>
      <c r="I15" s="27" t="s">
        <v>116</v>
      </c>
      <c r="J15" s="27" t="s">
        <v>116</v>
      </c>
      <c r="K15" s="27" t="s">
        <v>116</v>
      </c>
      <c r="L15" s="27" t="s">
        <v>116</v>
      </c>
      <c r="M15" s="27" t="s">
        <v>116</v>
      </c>
      <c r="N15" s="27" t="s">
        <v>70</v>
      </c>
      <c r="O15" s="27" t="s">
        <v>70</v>
      </c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2" t="str">
        <f t="shared" si="0"/>
        <v/>
      </c>
    </row>
    <row r="16" spans="1:29" x14ac:dyDescent="0.25">
      <c r="A16" s="7" t="s">
        <v>81</v>
      </c>
      <c r="B16" s="4" t="s">
        <v>78</v>
      </c>
      <c r="C16" s="4" t="s">
        <v>79</v>
      </c>
      <c r="D16" s="21"/>
      <c r="E16" s="21"/>
      <c r="F16" s="21"/>
      <c r="G16" s="27" t="s">
        <v>116</v>
      </c>
      <c r="H16" s="27" t="s">
        <v>116</v>
      </c>
      <c r="I16" s="27" t="s">
        <v>116</v>
      </c>
      <c r="J16" s="27" t="s">
        <v>116</v>
      </c>
      <c r="K16" s="27" t="s">
        <v>116</v>
      </c>
      <c r="L16" s="27" t="s">
        <v>116</v>
      </c>
      <c r="M16" s="27" t="s">
        <v>116</v>
      </c>
      <c r="N16" s="27" t="s">
        <v>70</v>
      </c>
      <c r="O16" s="27" t="s">
        <v>70</v>
      </c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2" t="str">
        <f t="shared" si="0"/>
        <v/>
      </c>
    </row>
    <row r="17" spans="1:28" ht="31.5" customHeight="1" x14ac:dyDescent="0.25">
      <c r="A17" s="7" t="s">
        <v>82</v>
      </c>
      <c r="B17" s="4" t="s">
        <v>78</v>
      </c>
      <c r="C17" s="4" t="s">
        <v>79</v>
      </c>
      <c r="D17" s="21"/>
      <c r="E17" s="21"/>
      <c r="F17" s="21"/>
      <c r="G17" s="27" t="s">
        <v>116</v>
      </c>
      <c r="H17" s="27" t="s">
        <v>116</v>
      </c>
      <c r="I17" s="27" t="s">
        <v>116</v>
      </c>
      <c r="J17" s="27" t="s">
        <v>116</v>
      </c>
      <c r="K17" s="27" t="s">
        <v>116</v>
      </c>
      <c r="L17" s="27" t="s">
        <v>116</v>
      </c>
      <c r="M17" s="27" t="s">
        <v>116</v>
      </c>
      <c r="N17" s="27" t="s">
        <v>70</v>
      </c>
      <c r="O17" s="27" t="s">
        <v>70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2" t="str">
        <f t="shared" si="0"/>
        <v/>
      </c>
    </row>
    <row r="18" spans="1:28" x14ac:dyDescent="0.25">
      <c r="A18" s="7" t="s">
        <v>83</v>
      </c>
      <c r="B18" s="4" t="s">
        <v>78</v>
      </c>
      <c r="C18" s="4" t="s">
        <v>79</v>
      </c>
      <c r="D18" s="21"/>
      <c r="E18" s="21"/>
      <c r="F18" s="21"/>
      <c r="G18" s="27" t="s">
        <v>116</v>
      </c>
      <c r="H18" s="27" t="s">
        <v>116</v>
      </c>
      <c r="I18" s="27" t="s">
        <v>116</v>
      </c>
      <c r="J18" s="27" t="s">
        <v>116</v>
      </c>
      <c r="K18" s="27" t="s">
        <v>116</v>
      </c>
      <c r="L18" s="27" t="s">
        <v>116</v>
      </c>
      <c r="M18" s="27" t="s">
        <v>116</v>
      </c>
      <c r="N18" s="27" t="s">
        <v>70</v>
      </c>
      <c r="O18" s="27" t="s">
        <v>70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2" t="str">
        <f t="shared" si="0"/>
        <v/>
      </c>
    </row>
    <row r="19" spans="1:28" x14ac:dyDescent="0.25">
      <c r="A19" s="6" t="s">
        <v>84</v>
      </c>
      <c r="B19" s="4" t="s">
        <v>76</v>
      </c>
      <c r="C19" s="4" t="s">
        <v>79</v>
      </c>
      <c r="D19" s="21"/>
      <c r="E19" s="21"/>
      <c r="F19" s="21"/>
      <c r="G19" s="27" t="s">
        <v>116</v>
      </c>
      <c r="H19" s="27" t="s">
        <v>116</v>
      </c>
      <c r="I19" s="27" t="s">
        <v>116</v>
      </c>
      <c r="J19" s="27" t="s">
        <v>116</v>
      </c>
      <c r="K19" s="27" t="s">
        <v>116</v>
      </c>
      <c r="L19" s="27" t="s">
        <v>116</v>
      </c>
      <c r="M19" s="27" t="s">
        <v>116</v>
      </c>
      <c r="N19" s="27" t="s">
        <v>70</v>
      </c>
      <c r="O19" s="27" t="s">
        <v>70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2" t="str">
        <f t="shared" si="0"/>
        <v/>
      </c>
    </row>
    <row r="20" spans="1:28" x14ac:dyDescent="0.25">
      <c r="A20" s="7" t="s">
        <v>85</v>
      </c>
      <c r="B20" s="4" t="s">
        <v>78</v>
      </c>
      <c r="C20" s="4" t="s">
        <v>86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7" t="s">
        <v>70</v>
      </c>
      <c r="Q20" s="27" t="s">
        <v>70</v>
      </c>
      <c r="R20" s="27" t="s">
        <v>70</v>
      </c>
      <c r="S20" s="27" t="s">
        <v>70</v>
      </c>
      <c r="T20" s="27" t="s">
        <v>70</v>
      </c>
      <c r="U20" s="27" t="s">
        <v>70</v>
      </c>
      <c r="V20" s="27" t="s">
        <v>70</v>
      </c>
      <c r="W20" s="27" t="s">
        <v>70</v>
      </c>
      <c r="X20" s="27" t="s">
        <v>70</v>
      </c>
      <c r="Y20" s="27" t="s">
        <v>70</v>
      </c>
      <c r="Z20" s="27" t="s">
        <v>70</v>
      </c>
      <c r="AA20" s="27" t="s">
        <v>70</v>
      </c>
      <c r="AB20" s="22" t="str">
        <f t="shared" si="0"/>
        <v/>
      </c>
    </row>
    <row r="21" spans="1:28" x14ac:dyDescent="0.25">
      <c r="A21" s="7" t="s">
        <v>87</v>
      </c>
      <c r="B21" s="4" t="s">
        <v>78</v>
      </c>
      <c r="C21" s="4" t="s">
        <v>86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7" t="s">
        <v>70</v>
      </c>
      <c r="Q21" s="27" t="s">
        <v>70</v>
      </c>
      <c r="R21" s="27" t="s">
        <v>70</v>
      </c>
      <c r="S21" s="27" t="s">
        <v>70</v>
      </c>
      <c r="T21" s="27" t="s">
        <v>70</v>
      </c>
      <c r="U21" s="27" t="s">
        <v>70</v>
      </c>
      <c r="V21" s="27" t="s">
        <v>70</v>
      </c>
      <c r="W21" s="27" t="s">
        <v>70</v>
      </c>
      <c r="X21" s="27" t="s">
        <v>70</v>
      </c>
      <c r="Y21" s="27" t="s">
        <v>70</v>
      </c>
      <c r="Z21" s="27" t="s">
        <v>70</v>
      </c>
      <c r="AA21" s="27" t="s">
        <v>70</v>
      </c>
      <c r="AB21" s="22" t="str">
        <f t="shared" si="0"/>
        <v/>
      </c>
    </row>
    <row r="22" spans="1:28" x14ac:dyDescent="0.25">
      <c r="A22" s="7" t="s">
        <v>88</v>
      </c>
      <c r="B22" s="4" t="s">
        <v>78</v>
      </c>
      <c r="C22" s="4" t="s">
        <v>86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7" t="s">
        <v>70</v>
      </c>
      <c r="Q22" s="27" t="s">
        <v>70</v>
      </c>
      <c r="R22" s="27" t="s">
        <v>70</v>
      </c>
      <c r="S22" s="27" t="s">
        <v>70</v>
      </c>
      <c r="T22" s="27" t="s">
        <v>70</v>
      </c>
      <c r="U22" s="27" t="s">
        <v>70</v>
      </c>
      <c r="V22" s="27" t="s">
        <v>70</v>
      </c>
      <c r="W22" s="27" t="s">
        <v>70</v>
      </c>
      <c r="X22" s="27" t="s">
        <v>70</v>
      </c>
      <c r="Y22" s="27" t="s">
        <v>70</v>
      </c>
      <c r="Z22" s="27" t="s">
        <v>70</v>
      </c>
      <c r="AA22" s="27" t="s">
        <v>70</v>
      </c>
      <c r="AB22" s="22" t="str">
        <f t="shared" si="0"/>
        <v/>
      </c>
    </row>
    <row r="23" spans="1:28" x14ac:dyDescent="0.25">
      <c r="A23" s="7" t="s">
        <v>89</v>
      </c>
      <c r="B23" s="4" t="s">
        <v>78</v>
      </c>
      <c r="C23" s="4" t="s">
        <v>86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7" t="s">
        <v>70</v>
      </c>
      <c r="Q23" s="27" t="s">
        <v>70</v>
      </c>
      <c r="R23" s="27" t="s">
        <v>70</v>
      </c>
      <c r="S23" s="27" t="s">
        <v>70</v>
      </c>
      <c r="T23" s="27" t="s">
        <v>70</v>
      </c>
      <c r="U23" s="27" t="s">
        <v>70</v>
      </c>
      <c r="V23" s="27" t="s">
        <v>70</v>
      </c>
      <c r="W23" s="27" t="s">
        <v>70</v>
      </c>
      <c r="X23" s="27" t="s">
        <v>70</v>
      </c>
      <c r="Y23" s="27" t="s">
        <v>70</v>
      </c>
      <c r="Z23" s="27" t="s">
        <v>70</v>
      </c>
      <c r="AA23" s="27" t="s">
        <v>70</v>
      </c>
      <c r="AB23" s="22" t="str">
        <f t="shared" si="0"/>
        <v/>
      </c>
    </row>
    <row r="24" spans="1:28" x14ac:dyDescent="0.25">
      <c r="A24" s="7" t="s">
        <v>90</v>
      </c>
      <c r="B24" s="4" t="s">
        <v>78</v>
      </c>
      <c r="C24" s="4" t="s">
        <v>86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7" t="s">
        <v>70</v>
      </c>
      <c r="Q24" s="27" t="s">
        <v>70</v>
      </c>
      <c r="R24" s="27" t="s">
        <v>70</v>
      </c>
      <c r="S24" s="27" t="s">
        <v>70</v>
      </c>
      <c r="T24" s="27" t="s">
        <v>70</v>
      </c>
      <c r="U24" s="27" t="s">
        <v>70</v>
      </c>
      <c r="V24" s="27" t="s">
        <v>70</v>
      </c>
      <c r="W24" s="27" t="s">
        <v>70</v>
      </c>
      <c r="X24" s="27" t="s">
        <v>70</v>
      </c>
      <c r="Y24" s="27" t="s">
        <v>70</v>
      </c>
      <c r="Z24" s="27" t="s">
        <v>70</v>
      </c>
      <c r="AA24" s="27" t="s">
        <v>70</v>
      </c>
      <c r="AB24" s="22" t="str">
        <f t="shared" si="0"/>
        <v/>
      </c>
    </row>
    <row r="25" spans="1:28" x14ac:dyDescent="0.25">
      <c r="A25" s="7" t="s">
        <v>91</v>
      </c>
      <c r="B25" s="4" t="s">
        <v>78</v>
      </c>
      <c r="C25" s="4" t="s">
        <v>86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7" t="s">
        <v>70</v>
      </c>
      <c r="Q25" s="27" t="s">
        <v>70</v>
      </c>
      <c r="R25" s="27" t="s">
        <v>70</v>
      </c>
      <c r="S25" s="27" t="s">
        <v>70</v>
      </c>
      <c r="T25" s="27" t="s">
        <v>70</v>
      </c>
      <c r="U25" s="27" t="s">
        <v>70</v>
      </c>
      <c r="V25" s="27" t="s">
        <v>70</v>
      </c>
      <c r="W25" s="27" t="s">
        <v>70</v>
      </c>
      <c r="X25" s="27" t="s">
        <v>70</v>
      </c>
      <c r="Y25" s="27" t="s">
        <v>70</v>
      </c>
      <c r="Z25" s="27" t="s">
        <v>70</v>
      </c>
      <c r="AA25" s="27" t="s">
        <v>70</v>
      </c>
      <c r="AB25" s="22" t="str">
        <f t="shared" si="0"/>
        <v/>
      </c>
    </row>
    <row r="26" spans="1:28" x14ac:dyDescent="0.25">
      <c r="A26" s="7" t="s">
        <v>92</v>
      </c>
      <c r="B26" s="4" t="s">
        <v>78</v>
      </c>
      <c r="C26" s="4" t="s">
        <v>86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7" t="s">
        <v>70</v>
      </c>
      <c r="Q26" s="27" t="s">
        <v>70</v>
      </c>
      <c r="R26" s="27" t="s">
        <v>70</v>
      </c>
      <c r="S26" s="27" t="s">
        <v>70</v>
      </c>
      <c r="T26" s="27" t="s">
        <v>70</v>
      </c>
      <c r="U26" s="27" t="s">
        <v>70</v>
      </c>
      <c r="V26" s="27" t="s">
        <v>70</v>
      </c>
      <c r="W26" s="27" t="s">
        <v>70</v>
      </c>
      <c r="X26" s="27" t="s">
        <v>70</v>
      </c>
      <c r="Y26" s="27" t="s">
        <v>70</v>
      </c>
      <c r="Z26" s="27" t="s">
        <v>70</v>
      </c>
      <c r="AA26" s="27" t="s">
        <v>70</v>
      </c>
      <c r="AB26" s="22" t="str">
        <f t="shared" si="0"/>
        <v/>
      </c>
    </row>
    <row r="27" spans="1:28" x14ac:dyDescent="0.25">
      <c r="A27" s="7" t="s">
        <v>93</v>
      </c>
      <c r="B27" s="4" t="s">
        <v>78</v>
      </c>
      <c r="C27" s="4" t="s">
        <v>86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7" t="s">
        <v>70</v>
      </c>
      <c r="Q27" s="27" t="s">
        <v>70</v>
      </c>
      <c r="R27" s="27" t="s">
        <v>70</v>
      </c>
      <c r="S27" s="27" t="s">
        <v>70</v>
      </c>
      <c r="T27" s="27" t="s">
        <v>70</v>
      </c>
      <c r="U27" s="27" t="s">
        <v>70</v>
      </c>
      <c r="V27" s="27" t="s">
        <v>70</v>
      </c>
      <c r="W27" s="27" t="s">
        <v>70</v>
      </c>
      <c r="X27" s="27" t="s">
        <v>70</v>
      </c>
      <c r="Y27" s="27" t="s">
        <v>70</v>
      </c>
      <c r="Z27" s="27" t="s">
        <v>70</v>
      </c>
      <c r="AA27" s="27" t="s">
        <v>70</v>
      </c>
      <c r="AB27" s="22" t="str">
        <f t="shared" si="0"/>
        <v/>
      </c>
    </row>
    <row r="28" spans="1:28" x14ac:dyDescent="0.25">
      <c r="A28" s="7" t="s">
        <v>94</v>
      </c>
      <c r="B28" s="4" t="s">
        <v>78</v>
      </c>
      <c r="C28" s="4" t="s">
        <v>86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7" t="s">
        <v>70</v>
      </c>
      <c r="Q28" s="27" t="s">
        <v>70</v>
      </c>
      <c r="R28" s="27" t="s">
        <v>70</v>
      </c>
      <c r="S28" s="27" t="s">
        <v>70</v>
      </c>
      <c r="T28" s="27" t="s">
        <v>70</v>
      </c>
      <c r="U28" s="27" t="s">
        <v>70</v>
      </c>
      <c r="V28" s="27" t="s">
        <v>70</v>
      </c>
      <c r="W28" s="27" t="s">
        <v>70</v>
      </c>
      <c r="X28" s="27" t="s">
        <v>70</v>
      </c>
      <c r="Y28" s="27" t="s">
        <v>70</v>
      </c>
      <c r="Z28" s="27" t="s">
        <v>70</v>
      </c>
      <c r="AA28" s="27" t="s">
        <v>70</v>
      </c>
      <c r="AB28" s="22" t="str">
        <f t="shared" si="0"/>
        <v/>
      </c>
    </row>
    <row r="29" spans="1:28" x14ac:dyDescent="0.25">
      <c r="A29" s="6" t="s">
        <v>95</v>
      </c>
      <c r="B29" s="4" t="s">
        <v>76</v>
      </c>
      <c r="C29" s="4" t="s">
        <v>86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7" t="s">
        <v>70</v>
      </c>
      <c r="Q29" s="27" t="s">
        <v>70</v>
      </c>
      <c r="R29" s="27" t="s">
        <v>70</v>
      </c>
      <c r="S29" s="27" t="s">
        <v>70</v>
      </c>
      <c r="T29" s="27" t="s">
        <v>70</v>
      </c>
      <c r="U29" s="27" t="s">
        <v>70</v>
      </c>
      <c r="V29" s="27" t="s">
        <v>70</v>
      </c>
      <c r="W29" s="27" t="s">
        <v>70</v>
      </c>
      <c r="X29" s="27" t="s">
        <v>70</v>
      </c>
      <c r="Y29" s="27" t="s">
        <v>70</v>
      </c>
      <c r="Z29" s="27" t="s">
        <v>70</v>
      </c>
      <c r="AA29" s="27" t="s">
        <v>70</v>
      </c>
      <c r="AB29" s="22" t="str">
        <f t="shared" si="0"/>
        <v/>
      </c>
    </row>
    <row r="30" spans="1:28" x14ac:dyDescent="0.25">
      <c r="A30" s="8" t="s">
        <v>96</v>
      </c>
      <c r="B30" s="4" t="s">
        <v>97</v>
      </c>
      <c r="C30" s="4" t="s">
        <v>98</v>
      </c>
      <c r="D30" s="21"/>
      <c r="E30" s="21"/>
      <c r="F30" s="27" t="s">
        <v>70</v>
      </c>
      <c r="G30" s="21"/>
      <c r="H30" s="21"/>
      <c r="I30" s="27" t="s">
        <v>116</v>
      </c>
      <c r="J30" s="21"/>
      <c r="K30" s="21"/>
      <c r="L30" s="27" t="s">
        <v>116</v>
      </c>
      <c r="M30" s="21"/>
      <c r="N30" s="21"/>
      <c r="O30" s="27" t="s">
        <v>70</v>
      </c>
      <c r="P30" s="21"/>
      <c r="Q30" s="21"/>
      <c r="R30" s="27" t="s">
        <v>70</v>
      </c>
      <c r="S30" s="21"/>
      <c r="T30" s="21"/>
      <c r="U30" s="27" t="s">
        <v>70</v>
      </c>
      <c r="V30" s="21"/>
      <c r="W30" s="21"/>
      <c r="X30" s="27" t="s">
        <v>70</v>
      </c>
      <c r="Y30" s="21"/>
      <c r="Z30" s="21"/>
      <c r="AA30" s="27" t="s">
        <v>70</v>
      </c>
      <c r="AB30" s="22" t="str">
        <f t="shared" si="0"/>
        <v/>
      </c>
    </row>
    <row r="31" spans="1:28" x14ac:dyDescent="0.25">
      <c r="A31" s="8" t="s">
        <v>99</v>
      </c>
      <c r="B31" s="4" t="s">
        <v>100</v>
      </c>
      <c r="C31" s="4" t="s">
        <v>101</v>
      </c>
      <c r="D31" s="21"/>
      <c r="E31" s="21"/>
      <c r="F31" s="27" t="s">
        <v>70</v>
      </c>
      <c r="G31" s="21"/>
      <c r="H31" s="21"/>
      <c r="I31" s="27" t="s">
        <v>116</v>
      </c>
      <c r="J31" s="21"/>
      <c r="K31" s="21"/>
      <c r="L31" s="27" t="s">
        <v>116</v>
      </c>
      <c r="M31" s="21"/>
      <c r="N31" s="21"/>
      <c r="O31" s="27" t="s">
        <v>70</v>
      </c>
      <c r="P31" s="21"/>
      <c r="Q31" s="21"/>
      <c r="R31" s="27" t="s">
        <v>70</v>
      </c>
      <c r="S31" s="21"/>
      <c r="T31" s="21"/>
      <c r="U31" s="27" t="s">
        <v>70</v>
      </c>
      <c r="V31" s="21"/>
      <c r="W31" s="21"/>
      <c r="X31" s="27" t="s">
        <v>70</v>
      </c>
      <c r="Y31" s="21"/>
      <c r="Z31" s="21"/>
      <c r="AA31" s="27" t="s">
        <v>70</v>
      </c>
      <c r="AB31" s="22" t="str">
        <f t="shared" si="0"/>
        <v/>
      </c>
    </row>
    <row r="32" spans="1:28" x14ac:dyDescent="0.25">
      <c r="A32" s="8" t="s">
        <v>102</v>
      </c>
      <c r="B32" s="4" t="s">
        <v>100</v>
      </c>
      <c r="C32" s="4" t="s">
        <v>101</v>
      </c>
      <c r="D32" s="21"/>
      <c r="E32" s="21"/>
      <c r="F32" s="27" t="s">
        <v>70</v>
      </c>
      <c r="G32" s="21"/>
      <c r="H32" s="21"/>
      <c r="I32" s="27" t="s">
        <v>116</v>
      </c>
      <c r="J32" s="21"/>
      <c r="K32" s="21"/>
      <c r="L32" s="27" t="s">
        <v>116</v>
      </c>
      <c r="M32" s="21"/>
      <c r="N32" s="21"/>
      <c r="O32" s="27" t="s">
        <v>70</v>
      </c>
      <c r="P32" s="21"/>
      <c r="Q32" s="21"/>
      <c r="R32" s="27" t="s">
        <v>70</v>
      </c>
      <c r="S32" s="21"/>
      <c r="T32" s="21"/>
      <c r="U32" s="27" t="s">
        <v>70</v>
      </c>
      <c r="V32" s="21"/>
      <c r="W32" s="21"/>
      <c r="X32" s="27" t="s">
        <v>70</v>
      </c>
      <c r="Y32" s="21"/>
      <c r="Z32" s="21"/>
      <c r="AA32" s="27" t="s">
        <v>70</v>
      </c>
      <c r="AB32" s="22" t="str">
        <f t="shared" si="0"/>
        <v/>
      </c>
    </row>
    <row r="33" spans="1:28" x14ac:dyDescent="0.25">
      <c r="A33" s="8" t="s">
        <v>103</v>
      </c>
      <c r="B33" s="4" t="s">
        <v>100</v>
      </c>
      <c r="C33" s="4" t="s">
        <v>101</v>
      </c>
      <c r="D33" s="21"/>
      <c r="E33" s="21"/>
      <c r="F33" s="27" t="s">
        <v>70</v>
      </c>
      <c r="G33" s="21"/>
      <c r="H33" s="21"/>
      <c r="I33" s="27" t="s">
        <v>116</v>
      </c>
      <c r="J33" s="21"/>
      <c r="K33" s="21"/>
      <c r="L33" s="27" t="s">
        <v>116</v>
      </c>
      <c r="M33" s="21"/>
      <c r="N33" s="21"/>
      <c r="O33" s="27" t="s">
        <v>70</v>
      </c>
      <c r="P33" s="21"/>
      <c r="Q33" s="21"/>
      <c r="R33" s="27" t="s">
        <v>70</v>
      </c>
      <c r="S33" s="21"/>
      <c r="T33" s="21"/>
      <c r="U33" s="27" t="s">
        <v>70</v>
      </c>
      <c r="V33" s="21"/>
      <c r="W33" s="21"/>
      <c r="X33" s="27" t="s">
        <v>70</v>
      </c>
      <c r="Y33" s="21"/>
      <c r="Z33" s="21"/>
      <c r="AA33" s="27" t="s">
        <v>70</v>
      </c>
      <c r="AB33" s="22" t="str">
        <f t="shared" si="0"/>
        <v/>
      </c>
    </row>
    <row r="34" spans="1:28" x14ac:dyDescent="0.25">
      <c r="A34" s="8" t="s">
        <v>104</v>
      </c>
      <c r="B34" s="4" t="s">
        <v>105</v>
      </c>
      <c r="C34" s="4" t="s">
        <v>106</v>
      </c>
      <c r="D34" s="21"/>
      <c r="E34" s="21"/>
      <c r="F34" s="27" t="s">
        <v>70</v>
      </c>
      <c r="G34" s="21"/>
      <c r="H34" s="21"/>
      <c r="I34" s="27" t="s">
        <v>116</v>
      </c>
      <c r="J34" s="21"/>
      <c r="K34" s="21"/>
      <c r="L34" s="21"/>
      <c r="M34" s="21"/>
      <c r="N34" s="21"/>
      <c r="O34" s="27" t="s">
        <v>70</v>
      </c>
      <c r="P34" s="21"/>
      <c r="Q34" s="21"/>
      <c r="R34" s="21"/>
      <c r="S34" s="21"/>
      <c r="T34" s="21"/>
      <c r="U34" s="27" t="s">
        <v>70</v>
      </c>
      <c r="V34" s="21"/>
      <c r="W34" s="21"/>
      <c r="X34" s="21"/>
      <c r="Y34" s="21"/>
      <c r="Z34" s="21"/>
      <c r="AA34" s="27" t="s">
        <v>70</v>
      </c>
      <c r="AB34" s="22" t="str">
        <f t="shared" si="0"/>
        <v/>
      </c>
    </row>
    <row r="35" spans="1:28" x14ac:dyDescent="0.25">
      <c r="A35" s="6" t="s">
        <v>107</v>
      </c>
      <c r="B35" s="4" t="s">
        <v>108</v>
      </c>
      <c r="C35" s="4" t="s">
        <v>109</v>
      </c>
      <c r="D35" s="27" t="s">
        <v>116</v>
      </c>
      <c r="E35" s="27" t="s">
        <v>116</v>
      </c>
      <c r="F35" s="27" t="s">
        <v>116</v>
      </c>
      <c r="G35" s="27" t="s">
        <v>116</v>
      </c>
      <c r="H35" s="27" t="s">
        <v>116</v>
      </c>
      <c r="I35" s="27" t="s">
        <v>116</v>
      </c>
      <c r="J35" s="27" t="s">
        <v>116</v>
      </c>
      <c r="K35" s="27" t="s">
        <v>116</v>
      </c>
      <c r="L35" s="27" t="s">
        <v>116</v>
      </c>
      <c r="M35" s="27" t="s">
        <v>116</v>
      </c>
      <c r="N35" s="27" t="s">
        <v>70</v>
      </c>
      <c r="O35" s="27" t="s">
        <v>70</v>
      </c>
      <c r="P35" s="27" t="s">
        <v>70</v>
      </c>
      <c r="Q35" s="27" t="s">
        <v>70</v>
      </c>
      <c r="R35" s="27" t="s">
        <v>70</v>
      </c>
      <c r="S35" s="27" t="s">
        <v>70</v>
      </c>
      <c r="T35" s="27" t="s">
        <v>70</v>
      </c>
      <c r="U35" s="27" t="s">
        <v>70</v>
      </c>
      <c r="V35" s="27" t="s">
        <v>70</v>
      </c>
      <c r="W35" s="27" t="s">
        <v>70</v>
      </c>
      <c r="X35" s="27" t="s">
        <v>70</v>
      </c>
      <c r="Y35" s="27" t="s">
        <v>70</v>
      </c>
      <c r="Z35" s="27" t="s">
        <v>70</v>
      </c>
      <c r="AA35" s="27" t="s">
        <v>70</v>
      </c>
      <c r="AB35" s="22" t="str">
        <f t="shared" si="0"/>
        <v/>
      </c>
    </row>
    <row r="36" spans="1:28" x14ac:dyDescent="0.25">
      <c r="A36" s="6" t="s">
        <v>110</v>
      </c>
      <c r="B36" s="4" t="s">
        <v>111</v>
      </c>
      <c r="C36" s="4" t="s">
        <v>112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7" t="s">
        <v>70</v>
      </c>
      <c r="Z36" s="27" t="s">
        <v>70</v>
      </c>
      <c r="AA36" s="27" t="s">
        <v>70</v>
      </c>
      <c r="AB36" s="22" t="str">
        <f t="shared" si="0"/>
        <v/>
      </c>
    </row>
    <row r="37" spans="1:28" x14ac:dyDescent="0.25">
      <c r="A37" s="6" t="s">
        <v>113</v>
      </c>
      <c r="B37" s="4" t="s">
        <v>111</v>
      </c>
      <c r="C37" s="4" t="s">
        <v>63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7" t="s">
        <v>70</v>
      </c>
      <c r="AB37" s="22" t="str">
        <f t="shared" si="0"/>
        <v/>
      </c>
    </row>
    <row r="38" spans="1:28" x14ac:dyDescent="0.25">
      <c r="A38" s="4"/>
      <c r="B38" s="4"/>
      <c r="C38" s="4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spans="1:28" x14ac:dyDescent="0.25">
      <c r="A39" s="9" t="s">
        <v>114</v>
      </c>
      <c r="B39" s="4"/>
      <c r="C39" s="4"/>
      <c r="D39" s="21" t="str">
        <f ca="1">IF(AND($H$3&lt;&gt;"",EDATE($H$3,0)&lt;=TODAY(),EDATE($H$3,1)&gt;TODAY()),"●","")</f>
        <v/>
      </c>
      <c r="E39" s="21" t="str">
        <f ca="1">IF(AND($H$3&lt;&gt;"",EDATE($H$3,1)&lt;=TODAY(),EDATE($H$3,2)&gt;TODAY()),"●","")</f>
        <v/>
      </c>
      <c r="F39" s="21" t="str">
        <f ca="1">IF(AND($H$3&lt;&gt;"",EDATE($H$3,2)&lt;=TODAY(),EDATE($H$3,3)&gt;TODAY()),"●","")</f>
        <v/>
      </c>
      <c r="G39" s="21" t="str">
        <f ca="1">IF(AND($H$3&lt;&gt;"",EDATE($H$3,3)&lt;=TODAY(),EDATE($H$3,4)&gt;TODAY()),"●","")</f>
        <v/>
      </c>
      <c r="H39" s="21" t="str">
        <f ca="1">IF(AND($H$3&lt;&gt;"",EDATE($H$3,4)&lt;=TODAY(),EDATE($H$3,5)&gt;TODAY()),"●","")</f>
        <v/>
      </c>
      <c r="I39" s="21" t="str">
        <f ca="1">IF(AND($H$3&lt;&gt;"",EDATE($H$3,5)&lt;=TODAY(),EDATE($H$3,6)&gt;TODAY()),"●","")</f>
        <v/>
      </c>
      <c r="J39" s="21" t="str">
        <f ca="1">IF(AND($H$3&lt;&gt;"",EDATE($H$3,6)&lt;=TODAY(),EDATE($H$3,7)&gt;TODAY()),"●","")</f>
        <v/>
      </c>
      <c r="K39" s="21" t="str">
        <f ca="1">IF(AND($H$3&lt;&gt;"",EDATE($H$3,7)&lt;=TODAY(),EDATE($H$3,8)&gt;TODAY()),"●","")</f>
        <v/>
      </c>
      <c r="L39" s="21" t="str">
        <f ca="1">IF(AND($H$3&lt;&gt;"",EDATE($H$3,8)&lt;=TODAY(),EDATE($H$3,9)&gt;TODAY()),"●","")</f>
        <v/>
      </c>
      <c r="M39" s="21" t="str">
        <f ca="1">IF(AND($H$3&lt;&gt;"",EDATE($H$3,9)&lt;=TODAY(),EDATE($H$3,10)&gt;TODAY()),"●","")</f>
        <v/>
      </c>
      <c r="N39" s="21" t="str">
        <f ca="1">IF(AND($H$3&lt;&gt;"",EDATE($H$3,10)&lt;=TODAY(),EDATE($H$3,11)&gt;TODAY()),"●","")</f>
        <v>●</v>
      </c>
      <c r="O39" s="21" t="str">
        <f ca="1">IF(AND($H$3&lt;&gt;"",EDATE($H$3,11)&lt;=TODAY(),EDATE($H$3,12)&gt;TODAY()),"●","")</f>
        <v/>
      </c>
      <c r="P39" s="21" t="str">
        <f ca="1">IF(AND($H$3&lt;&gt;"",EDATE($H$3,12)&lt;=TODAY(),EDATE($H$3,13)&gt;TODAY()),"●","")</f>
        <v/>
      </c>
      <c r="Q39" s="21" t="str">
        <f ca="1">IF(AND($H$3&lt;&gt;"",EDATE($H$3,13)&lt;=TODAY(),EDATE($H$3,14)&gt;TODAY()),"●","")</f>
        <v/>
      </c>
      <c r="R39" s="21" t="str">
        <f ca="1">IF(AND($H$3&lt;&gt;"",EDATE($H$3,14)&lt;=TODAY(),EDATE($H$3,15)&gt;TODAY()),"●","")</f>
        <v/>
      </c>
      <c r="S39" s="21" t="str">
        <f ca="1">IF(AND($H$3&lt;&gt;"",EDATE($H$3,15)&lt;=TODAY(),EDATE($H$3,16)&gt;TODAY()),"●","")</f>
        <v/>
      </c>
      <c r="T39" s="21" t="str">
        <f ca="1">IF(AND($H$3&lt;&gt;"",EDATE($H$3,16)&lt;=TODAY(),EDATE($H$3,17)&gt;TODAY()),"●","")</f>
        <v/>
      </c>
      <c r="U39" s="21" t="str">
        <f ca="1">IF(AND($H$3&lt;&gt;"",EDATE($H$3,17)&lt;=TODAY(),EDATE($H$3,18)&gt;TODAY()),"●","")</f>
        <v/>
      </c>
      <c r="V39" s="21" t="str">
        <f ca="1">IF(AND($H$3&lt;&gt;"",EDATE($H$3,18)&lt;=TODAY(),EDATE($H$3,19)&gt;TODAY()),"●","")</f>
        <v/>
      </c>
      <c r="W39" s="21" t="str">
        <f ca="1">IF(AND($H$3&lt;&gt;"",EDATE($H$3,19)&lt;=TODAY(),EDATE($H$3,20)&gt;TODAY()),"●","")</f>
        <v/>
      </c>
      <c r="X39" s="21" t="str">
        <f ca="1">IF(AND($H$3&lt;&gt;"",EDATE($H$3,20)&lt;=TODAY(),EDATE($H$3,21)&gt;TODAY()),"●","")</f>
        <v/>
      </c>
      <c r="Y39" s="21" t="str">
        <f ca="1">IF(AND($H$3&lt;&gt;"",EDATE($H$3,21)&lt;=TODAY(),EDATE($H$3,22)&gt;TODAY()),"●","")</f>
        <v/>
      </c>
      <c r="Z39" s="21" t="str">
        <f ca="1">IF(AND($H$3&lt;&gt;"",EDATE($H$3,22)&lt;=TODAY(),EDATE($H$3,23)&gt;TODAY()),"●","")</f>
        <v/>
      </c>
      <c r="AA39" s="21" t="str">
        <f ca="1">IF(AND($H$3&lt;&gt;"",EDATE($H$3,23)&lt;=TODAY(),EDATE($H$3,24)&gt;TODAY()),"●","")</f>
        <v/>
      </c>
      <c r="AB39" s="21"/>
    </row>
    <row r="40" spans="1:28" x14ac:dyDescent="0.25"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spans="1:28" x14ac:dyDescent="0.25">
      <c r="A41" s="32" t="s">
        <v>115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</sheetData>
  <autoFilter ref="A5:AB37" xr:uid="{00000000-0009-0000-0000-000004000000}"/>
  <mergeCells count="2">
    <mergeCell ref="A1:AC1"/>
    <mergeCell ref="A41:AB41"/>
  </mergeCells>
  <phoneticPr fontId="5" type="noConversion"/>
  <dataValidations count="1">
    <dataValidation type="list" allowBlank="1" sqref="D8:AA37" xr:uid="{00000000-0002-0000-0400-000000000000}">
      <formula1>"☐,☑"</formula1>
    </dataValidation>
  </dataValidation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41"/>
  <sheetViews>
    <sheetView showGridLines="0" zoomScale="85" zoomScaleNormal="85" workbookViewId="0">
      <pane xSplit="3" ySplit="7" topLeftCell="D17" activePane="bottomRight" state="frozen"/>
      <selection pane="topRight"/>
      <selection pane="bottomLeft"/>
      <selection pane="bottomRight" activeCell="D35" sqref="D35:L35"/>
    </sheetView>
  </sheetViews>
  <sheetFormatPr defaultRowHeight="15.75" x14ac:dyDescent="0.25"/>
  <cols>
    <col min="1" max="1" width="34" style="16" customWidth="1"/>
    <col min="2" max="2" width="16" style="16" customWidth="1"/>
    <col min="3" max="3" width="22" style="16" customWidth="1"/>
    <col min="4" max="27" width="14" style="16" customWidth="1"/>
    <col min="28" max="28" width="12" style="16" customWidth="1"/>
  </cols>
  <sheetData>
    <row r="1" spans="1:29" ht="30" customHeight="1" x14ac:dyDescent="0.4">
      <c r="A1" s="31" t="s">
        <v>33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3" spans="1:29" ht="24" customHeight="1" x14ac:dyDescent="0.25">
      <c r="A3" s="14" t="s">
        <v>1</v>
      </c>
      <c r="B3" s="15" t="s">
        <v>18</v>
      </c>
      <c r="D3" s="14" t="s">
        <v>34</v>
      </c>
      <c r="E3" s="15" t="s">
        <v>19</v>
      </c>
      <c r="G3" s="14" t="s">
        <v>3</v>
      </c>
      <c r="H3" s="24">
        <v>45981</v>
      </c>
      <c r="J3" s="14" t="s">
        <v>35</v>
      </c>
      <c r="K3" s="25">
        <f>IF(H3="","",EDATE(H3,24)-1)</f>
        <v>46710</v>
      </c>
      <c r="M3" s="14" t="s">
        <v>36</v>
      </c>
      <c r="N3" s="13">
        <f ca="1">IF(H3="","",MAX(1,DATEDIF(H3,TODAY(),"m")+1))</f>
        <v>10</v>
      </c>
    </row>
    <row r="5" spans="1:29" x14ac:dyDescent="0.25">
      <c r="A5" s="2" t="s">
        <v>37</v>
      </c>
      <c r="B5" s="2" t="s">
        <v>38</v>
      </c>
      <c r="C5" s="2" t="s">
        <v>39</v>
      </c>
      <c r="D5" s="20" t="s">
        <v>40</v>
      </c>
      <c r="E5" s="20" t="s">
        <v>41</v>
      </c>
      <c r="F5" s="20" t="s">
        <v>42</v>
      </c>
      <c r="G5" s="20" t="s">
        <v>43</v>
      </c>
      <c r="H5" s="20" t="s">
        <v>44</v>
      </c>
      <c r="I5" s="20" t="s">
        <v>45</v>
      </c>
      <c r="J5" s="20" t="s">
        <v>46</v>
      </c>
      <c r="K5" s="20" t="s">
        <v>47</v>
      </c>
      <c r="L5" s="20" t="s">
        <v>48</v>
      </c>
      <c r="M5" s="20" t="s">
        <v>49</v>
      </c>
      <c r="N5" s="20" t="s">
        <v>50</v>
      </c>
      <c r="O5" s="20" t="s">
        <v>51</v>
      </c>
      <c r="P5" s="20" t="s">
        <v>52</v>
      </c>
      <c r="Q5" s="20" t="s">
        <v>53</v>
      </c>
      <c r="R5" s="20" t="s">
        <v>54</v>
      </c>
      <c r="S5" s="20" t="s">
        <v>55</v>
      </c>
      <c r="T5" s="20" t="s">
        <v>56</v>
      </c>
      <c r="U5" s="20" t="s">
        <v>57</v>
      </c>
      <c r="V5" s="20" t="s">
        <v>58</v>
      </c>
      <c r="W5" s="20" t="s">
        <v>59</v>
      </c>
      <c r="X5" s="20" t="s">
        <v>60</v>
      </c>
      <c r="Y5" s="20" t="s">
        <v>61</v>
      </c>
      <c r="Z5" s="20" t="s">
        <v>62</v>
      </c>
      <c r="AA5" s="20" t="s">
        <v>63</v>
      </c>
      <c r="AB5" s="20" t="s">
        <v>64</v>
      </c>
    </row>
    <row r="6" spans="1:29" x14ac:dyDescent="0.25">
      <c r="A6" s="3" t="s">
        <v>65</v>
      </c>
      <c r="B6" s="4"/>
      <c r="C6" s="4" t="s">
        <v>66</v>
      </c>
      <c r="D6" s="26">
        <f>IF($H$3="","",EDATE($H$3,0))</f>
        <v>45981</v>
      </c>
      <c r="E6" s="26">
        <f>IF($H$3="","",EDATE($H$3,1))</f>
        <v>46011</v>
      </c>
      <c r="F6" s="26">
        <f>IF($H$3="","",EDATE($H$3,2))</f>
        <v>46042</v>
      </c>
      <c r="G6" s="26">
        <f>IF($H$3="","",EDATE($H$3,3))</f>
        <v>46073</v>
      </c>
      <c r="H6" s="26">
        <f>IF($H$3="","",EDATE($H$3,4))</f>
        <v>46101</v>
      </c>
      <c r="I6" s="26">
        <f>IF($H$3="","",EDATE($H$3,5))</f>
        <v>46132</v>
      </c>
      <c r="J6" s="26">
        <f>IF($H$3="","",EDATE($H$3,6))</f>
        <v>46162</v>
      </c>
      <c r="K6" s="26">
        <f>IF($H$3="","",EDATE($H$3,7))</f>
        <v>46193</v>
      </c>
      <c r="L6" s="26">
        <f>IF($H$3="","",EDATE($H$3,8))</f>
        <v>46223</v>
      </c>
      <c r="M6" s="26">
        <f>IF($H$3="","",EDATE($H$3,9))</f>
        <v>46254</v>
      </c>
      <c r="N6" s="26">
        <f>IF($H$3="","",EDATE($H$3,10))</f>
        <v>46285</v>
      </c>
      <c r="O6" s="26">
        <f>IF($H$3="","",EDATE($H$3,11))</f>
        <v>46315</v>
      </c>
      <c r="P6" s="26">
        <f>IF($H$3="","",EDATE($H$3,12))</f>
        <v>46346</v>
      </c>
      <c r="Q6" s="26">
        <f>IF($H$3="","",EDATE($H$3,13))</f>
        <v>46376</v>
      </c>
      <c r="R6" s="26">
        <f>IF($H$3="","",EDATE($H$3,14))</f>
        <v>46407</v>
      </c>
      <c r="S6" s="26">
        <f>IF($H$3="","",EDATE($H$3,15))</f>
        <v>46438</v>
      </c>
      <c r="T6" s="26">
        <f>IF($H$3="","",EDATE($H$3,16))</f>
        <v>46466</v>
      </c>
      <c r="U6" s="26">
        <f>IF($H$3="","",EDATE($H$3,17))</f>
        <v>46497</v>
      </c>
      <c r="V6" s="26">
        <f>IF($H$3="","",EDATE($H$3,18))</f>
        <v>46527</v>
      </c>
      <c r="W6" s="26">
        <f>IF($H$3="","",EDATE($H$3,19))</f>
        <v>46558</v>
      </c>
      <c r="X6" s="26">
        <f>IF($H$3="","",EDATE($H$3,20))</f>
        <v>46588</v>
      </c>
      <c r="Y6" s="26">
        <f>IF($H$3="","",EDATE($H$3,21))</f>
        <v>46619</v>
      </c>
      <c r="Z6" s="26">
        <f>IF($H$3="","",EDATE($H$3,22))</f>
        <v>46650</v>
      </c>
      <c r="AA6" s="26">
        <f>IF($H$3="","",EDATE($H$3,23))</f>
        <v>46680</v>
      </c>
      <c r="AB6" s="21"/>
    </row>
    <row r="7" spans="1:29" x14ac:dyDescent="0.25">
      <c r="A7" s="4"/>
      <c r="B7" s="4"/>
      <c r="C7" s="4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9" x14ac:dyDescent="0.25">
      <c r="A8" s="5" t="s">
        <v>67</v>
      </c>
      <c r="B8" s="4" t="s">
        <v>68</v>
      </c>
      <c r="C8" s="4" t="s">
        <v>69</v>
      </c>
      <c r="D8" s="27" t="s">
        <v>116</v>
      </c>
      <c r="E8" s="27" t="s">
        <v>116</v>
      </c>
      <c r="F8" s="27" t="s">
        <v>116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2" t="str">
        <f t="shared" ref="AB8:AB37" si="0">IF(COUNTIF(D8:AA8,"○")+COUNTIF(D8:AA8,"✓")=0,"",COUNTIF(D8:AA8,"✓")/(COUNTIF(D8:AA8,"○")+COUNTIF(D8:AA8,"✓")))</f>
        <v/>
      </c>
    </row>
    <row r="9" spans="1:29" x14ac:dyDescent="0.25">
      <c r="A9" s="5" t="s">
        <v>71</v>
      </c>
      <c r="B9" s="4" t="s">
        <v>68</v>
      </c>
      <c r="C9" s="4" t="s">
        <v>69</v>
      </c>
      <c r="D9" s="27" t="s">
        <v>116</v>
      </c>
      <c r="E9" s="27" t="s">
        <v>116</v>
      </c>
      <c r="F9" s="27" t="s">
        <v>116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2" t="str">
        <f t="shared" si="0"/>
        <v/>
      </c>
    </row>
    <row r="10" spans="1:29" x14ac:dyDescent="0.25">
      <c r="A10" s="5" t="s">
        <v>72</v>
      </c>
      <c r="B10" s="4" t="s">
        <v>68</v>
      </c>
      <c r="C10" s="4" t="s">
        <v>69</v>
      </c>
      <c r="D10" s="27" t="s">
        <v>116</v>
      </c>
      <c r="E10" s="27" t="s">
        <v>116</v>
      </c>
      <c r="F10" s="27" t="s">
        <v>116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2" t="str">
        <f t="shared" si="0"/>
        <v/>
      </c>
    </row>
    <row r="11" spans="1:29" x14ac:dyDescent="0.25">
      <c r="A11" s="5" t="s">
        <v>73</v>
      </c>
      <c r="B11" s="4" t="s">
        <v>68</v>
      </c>
      <c r="C11" s="4" t="s">
        <v>69</v>
      </c>
      <c r="D11" s="27" t="s">
        <v>116</v>
      </c>
      <c r="E11" s="27" t="s">
        <v>116</v>
      </c>
      <c r="F11" s="27" t="s">
        <v>116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2" t="str">
        <f t="shared" si="0"/>
        <v/>
      </c>
    </row>
    <row r="12" spans="1:29" x14ac:dyDescent="0.25">
      <c r="A12" s="5" t="s">
        <v>74</v>
      </c>
      <c r="B12" s="4" t="s">
        <v>68</v>
      </c>
      <c r="C12" s="4" t="s">
        <v>69</v>
      </c>
      <c r="D12" s="27" t="s">
        <v>116</v>
      </c>
      <c r="E12" s="27" t="s">
        <v>116</v>
      </c>
      <c r="F12" s="27" t="s">
        <v>116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2" t="str">
        <f t="shared" si="0"/>
        <v/>
      </c>
    </row>
    <row r="13" spans="1:29" x14ac:dyDescent="0.25">
      <c r="A13" s="6" t="s">
        <v>75</v>
      </c>
      <c r="B13" s="4" t="s">
        <v>76</v>
      </c>
      <c r="C13" s="4" t="s">
        <v>69</v>
      </c>
      <c r="D13" s="27" t="s">
        <v>116</v>
      </c>
      <c r="E13" s="27" t="s">
        <v>116</v>
      </c>
      <c r="F13" s="27" t="s">
        <v>116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2" t="str">
        <f t="shared" si="0"/>
        <v/>
      </c>
    </row>
    <row r="14" spans="1:29" x14ac:dyDescent="0.25">
      <c r="A14" s="7" t="s">
        <v>77</v>
      </c>
      <c r="B14" s="4" t="s">
        <v>78</v>
      </c>
      <c r="C14" s="4" t="s">
        <v>79</v>
      </c>
      <c r="D14" s="21"/>
      <c r="E14" s="21"/>
      <c r="F14" s="21"/>
      <c r="G14" s="27" t="s">
        <v>116</v>
      </c>
      <c r="H14" s="27" t="s">
        <v>116</v>
      </c>
      <c r="I14" s="27" t="s">
        <v>116</v>
      </c>
      <c r="J14" s="27" t="s">
        <v>116</v>
      </c>
      <c r="K14" s="27" t="s">
        <v>116</v>
      </c>
      <c r="L14" s="27" t="s">
        <v>116</v>
      </c>
      <c r="M14" s="27" t="s">
        <v>70</v>
      </c>
      <c r="N14" s="27" t="s">
        <v>70</v>
      </c>
      <c r="O14" s="27" t="s">
        <v>70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2" t="str">
        <f t="shared" si="0"/>
        <v/>
      </c>
    </row>
    <row r="15" spans="1:29" x14ac:dyDescent="0.25">
      <c r="A15" s="7" t="s">
        <v>80</v>
      </c>
      <c r="B15" s="4" t="s">
        <v>78</v>
      </c>
      <c r="C15" s="4" t="s">
        <v>79</v>
      </c>
      <c r="D15" s="21"/>
      <c r="E15" s="21"/>
      <c r="F15" s="21"/>
      <c r="G15" s="27" t="s">
        <v>116</v>
      </c>
      <c r="H15" s="27" t="s">
        <v>116</v>
      </c>
      <c r="I15" s="27" t="s">
        <v>116</v>
      </c>
      <c r="J15" s="27" t="s">
        <v>116</v>
      </c>
      <c r="K15" s="27" t="s">
        <v>116</v>
      </c>
      <c r="L15" s="27" t="s">
        <v>116</v>
      </c>
      <c r="M15" s="27" t="s">
        <v>70</v>
      </c>
      <c r="N15" s="27" t="s">
        <v>70</v>
      </c>
      <c r="O15" s="27" t="s">
        <v>70</v>
      </c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2" t="str">
        <f t="shared" si="0"/>
        <v/>
      </c>
    </row>
    <row r="16" spans="1:29" x14ac:dyDescent="0.25">
      <c r="A16" s="7" t="s">
        <v>81</v>
      </c>
      <c r="B16" s="4" t="s">
        <v>78</v>
      </c>
      <c r="C16" s="4" t="s">
        <v>79</v>
      </c>
      <c r="D16" s="21"/>
      <c r="E16" s="21"/>
      <c r="F16" s="21"/>
      <c r="G16" s="27" t="s">
        <v>116</v>
      </c>
      <c r="H16" s="27" t="s">
        <v>116</v>
      </c>
      <c r="I16" s="27" t="s">
        <v>116</v>
      </c>
      <c r="J16" s="27" t="s">
        <v>116</v>
      </c>
      <c r="K16" s="27" t="s">
        <v>116</v>
      </c>
      <c r="L16" s="27" t="s">
        <v>116</v>
      </c>
      <c r="M16" s="27" t="s">
        <v>70</v>
      </c>
      <c r="N16" s="27" t="s">
        <v>70</v>
      </c>
      <c r="O16" s="27" t="s">
        <v>70</v>
      </c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2" t="str">
        <f t="shared" si="0"/>
        <v/>
      </c>
    </row>
    <row r="17" spans="1:28" ht="31.5" customHeight="1" x14ac:dyDescent="0.25">
      <c r="A17" s="7" t="s">
        <v>82</v>
      </c>
      <c r="B17" s="4" t="s">
        <v>78</v>
      </c>
      <c r="C17" s="4" t="s">
        <v>79</v>
      </c>
      <c r="D17" s="21"/>
      <c r="E17" s="21"/>
      <c r="F17" s="21"/>
      <c r="G17" s="27" t="s">
        <v>116</v>
      </c>
      <c r="H17" s="27" t="s">
        <v>116</v>
      </c>
      <c r="I17" s="27" t="s">
        <v>116</v>
      </c>
      <c r="J17" s="27" t="s">
        <v>116</v>
      </c>
      <c r="K17" s="27" t="s">
        <v>116</v>
      </c>
      <c r="L17" s="27" t="s">
        <v>116</v>
      </c>
      <c r="M17" s="27" t="s">
        <v>70</v>
      </c>
      <c r="N17" s="27" t="s">
        <v>70</v>
      </c>
      <c r="O17" s="27" t="s">
        <v>70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2" t="str">
        <f t="shared" si="0"/>
        <v/>
      </c>
    </row>
    <row r="18" spans="1:28" x14ac:dyDescent="0.25">
      <c r="A18" s="7" t="s">
        <v>83</v>
      </c>
      <c r="B18" s="4" t="s">
        <v>78</v>
      </c>
      <c r="C18" s="4" t="s">
        <v>79</v>
      </c>
      <c r="D18" s="21"/>
      <c r="E18" s="21"/>
      <c r="F18" s="21"/>
      <c r="G18" s="27" t="s">
        <v>116</v>
      </c>
      <c r="H18" s="27" t="s">
        <v>116</v>
      </c>
      <c r="I18" s="27" t="s">
        <v>116</v>
      </c>
      <c r="J18" s="27" t="s">
        <v>116</v>
      </c>
      <c r="K18" s="27" t="s">
        <v>116</v>
      </c>
      <c r="L18" s="27" t="s">
        <v>116</v>
      </c>
      <c r="M18" s="27" t="s">
        <v>70</v>
      </c>
      <c r="N18" s="27" t="s">
        <v>70</v>
      </c>
      <c r="O18" s="27" t="s">
        <v>70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2" t="str">
        <f t="shared" si="0"/>
        <v/>
      </c>
    </row>
    <row r="19" spans="1:28" x14ac:dyDescent="0.25">
      <c r="A19" s="6" t="s">
        <v>84</v>
      </c>
      <c r="B19" s="4" t="s">
        <v>76</v>
      </c>
      <c r="C19" s="4" t="s">
        <v>79</v>
      </c>
      <c r="D19" s="21"/>
      <c r="E19" s="21"/>
      <c r="F19" s="21"/>
      <c r="G19" s="27" t="s">
        <v>116</v>
      </c>
      <c r="H19" s="27" t="s">
        <v>116</v>
      </c>
      <c r="I19" s="27" t="s">
        <v>116</v>
      </c>
      <c r="J19" s="27" t="s">
        <v>116</v>
      </c>
      <c r="K19" s="27" t="s">
        <v>116</v>
      </c>
      <c r="L19" s="27" t="s">
        <v>116</v>
      </c>
      <c r="M19" s="27" t="s">
        <v>70</v>
      </c>
      <c r="N19" s="27" t="s">
        <v>70</v>
      </c>
      <c r="O19" s="27" t="s">
        <v>70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2" t="str">
        <f t="shared" si="0"/>
        <v/>
      </c>
    </row>
    <row r="20" spans="1:28" x14ac:dyDescent="0.25">
      <c r="A20" s="7" t="s">
        <v>85</v>
      </c>
      <c r="B20" s="4" t="s">
        <v>78</v>
      </c>
      <c r="C20" s="4" t="s">
        <v>86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7" t="s">
        <v>70</v>
      </c>
      <c r="Q20" s="27" t="s">
        <v>70</v>
      </c>
      <c r="R20" s="27" t="s">
        <v>70</v>
      </c>
      <c r="S20" s="27" t="s">
        <v>70</v>
      </c>
      <c r="T20" s="27" t="s">
        <v>70</v>
      </c>
      <c r="U20" s="27" t="s">
        <v>70</v>
      </c>
      <c r="V20" s="27" t="s">
        <v>70</v>
      </c>
      <c r="W20" s="27" t="s">
        <v>70</v>
      </c>
      <c r="X20" s="27" t="s">
        <v>70</v>
      </c>
      <c r="Y20" s="27" t="s">
        <v>70</v>
      </c>
      <c r="Z20" s="27" t="s">
        <v>70</v>
      </c>
      <c r="AA20" s="27" t="s">
        <v>70</v>
      </c>
      <c r="AB20" s="22" t="str">
        <f t="shared" si="0"/>
        <v/>
      </c>
    </row>
    <row r="21" spans="1:28" x14ac:dyDescent="0.25">
      <c r="A21" s="7" t="s">
        <v>87</v>
      </c>
      <c r="B21" s="4" t="s">
        <v>78</v>
      </c>
      <c r="C21" s="4" t="s">
        <v>86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7" t="s">
        <v>70</v>
      </c>
      <c r="Q21" s="27" t="s">
        <v>70</v>
      </c>
      <c r="R21" s="27" t="s">
        <v>70</v>
      </c>
      <c r="S21" s="27" t="s">
        <v>70</v>
      </c>
      <c r="T21" s="27" t="s">
        <v>70</v>
      </c>
      <c r="U21" s="27" t="s">
        <v>70</v>
      </c>
      <c r="V21" s="27" t="s">
        <v>70</v>
      </c>
      <c r="W21" s="27" t="s">
        <v>70</v>
      </c>
      <c r="X21" s="27" t="s">
        <v>70</v>
      </c>
      <c r="Y21" s="27" t="s">
        <v>70</v>
      </c>
      <c r="Z21" s="27" t="s">
        <v>70</v>
      </c>
      <c r="AA21" s="27" t="s">
        <v>70</v>
      </c>
      <c r="AB21" s="22" t="str">
        <f t="shared" si="0"/>
        <v/>
      </c>
    </row>
    <row r="22" spans="1:28" x14ac:dyDescent="0.25">
      <c r="A22" s="7" t="s">
        <v>88</v>
      </c>
      <c r="B22" s="4" t="s">
        <v>78</v>
      </c>
      <c r="C22" s="4" t="s">
        <v>86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7" t="s">
        <v>70</v>
      </c>
      <c r="Q22" s="27" t="s">
        <v>70</v>
      </c>
      <c r="R22" s="27" t="s">
        <v>70</v>
      </c>
      <c r="S22" s="27" t="s">
        <v>70</v>
      </c>
      <c r="T22" s="27" t="s">
        <v>70</v>
      </c>
      <c r="U22" s="27" t="s">
        <v>70</v>
      </c>
      <c r="V22" s="27" t="s">
        <v>70</v>
      </c>
      <c r="W22" s="27" t="s">
        <v>70</v>
      </c>
      <c r="X22" s="27" t="s">
        <v>70</v>
      </c>
      <c r="Y22" s="27" t="s">
        <v>70</v>
      </c>
      <c r="Z22" s="27" t="s">
        <v>70</v>
      </c>
      <c r="AA22" s="27" t="s">
        <v>70</v>
      </c>
      <c r="AB22" s="22" t="str">
        <f t="shared" si="0"/>
        <v/>
      </c>
    </row>
    <row r="23" spans="1:28" x14ac:dyDescent="0.25">
      <c r="A23" s="7" t="s">
        <v>89</v>
      </c>
      <c r="B23" s="4" t="s">
        <v>78</v>
      </c>
      <c r="C23" s="4" t="s">
        <v>86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7" t="s">
        <v>70</v>
      </c>
      <c r="Q23" s="27" t="s">
        <v>70</v>
      </c>
      <c r="R23" s="27" t="s">
        <v>70</v>
      </c>
      <c r="S23" s="27" t="s">
        <v>70</v>
      </c>
      <c r="T23" s="27" t="s">
        <v>70</v>
      </c>
      <c r="U23" s="27" t="s">
        <v>70</v>
      </c>
      <c r="V23" s="27" t="s">
        <v>70</v>
      </c>
      <c r="W23" s="27" t="s">
        <v>70</v>
      </c>
      <c r="X23" s="27" t="s">
        <v>70</v>
      </c>
      <c r="Y23" s="27" t="s">
        <v>70</v>
      </c>
      <c r="Z23" s="27" t="s">
        <v>70</v>
      </c>
      <c r="AA23" s="27" t="s">
        <v>70</v>
      </c>
      <c r="AB23" s="22" t="str">
        <f t="shared" si="0"/>
        <v/>
      </c>
    </row>
    <row r="24" spans="1:28" x14ac:dyDescent="0.25">
      <c r="A24" s="7" t="s">
        <v>90</v>
      </c>
      <c r="B24" s="4" t="s">
        <v>78</v>
      </c>
      <c r="C24" s="4" t="s">
        <v>86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7" t="s">
        <v>70</v>
      </c>
      <c r="Q24" s="27" t="s">
        <v>70</v>
      </c>
      <c r="R24" s="27" t="s">
        <v>70</v>
      </c>
      <c r="S24" s="27" t="s">
        <v>70</v>
      </c>
      <c r="T24" s="27" t="s">
        <v>70</v>
      </c>
      <c r="U24" s="27" t="s">
        <v>70</v>
      </c>
      <c r="V24" s="27" t="s">
        <v>70</v>
      </c>
      <c r="W24" s="27" t="s">
        <v>70</v>
      </c>
      <c r="X24" s="27" t="s">
        <v>70</v>
      </c>
      <c r="Y24" s="27" t="s">
        <v>70</v>
      </c>
      <c r="Z24" s="27" t="s">
        <v>70</v>
      </c>
      <c r="AA24" s="27" t="s">
        <v>70</v>
      </c>
      <c r="AB24" s="22" t="str">
        <f t="shared" si="0"/>
        <v/>
      </c>
    </row>
    <row r="25" spans="1:28" x14ac:dyDescent="0.25">
      <c r="A25" s="7" t="s">
        <v>91</v>
      </c>
      <c r="B25" s="4" t="s">
        <v>78</v>
      </c>
      <c r="C25" s="4" t="s">
        <v>86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7" t="s">
        <v>70</v>
      </c>
      <c r="Q25" s="27" t="s">
        <v>70</v>
      </c>
      <c r="R25" s="27" t="s">
        <v>70</v>
      </c>
      <c r="S25" s="27" t="s">
        <v>70</v>
      </c>
      <c r="T25" s="27" t="s">
        <v>70</v>
      </c>
      <c r="U25" s="27" t="s">
        <v>70</v>
      </c>
      <c r="V25" s="27" t="s">
        <v>70</v>
      </c>
      <c r="W25" s="27" t="s">
        <v>70</v>
      </c>
      <c r="X25" s="27" t="s">
        <v>70</v>
      </c>
      <c r="Y25" s="27" t="s">
        <v>70</v>
      </c>
      <c r="Z25" s="27" t="s">
        <v>70</v>
      </c>
      <c r="AA25" s="27" t="s">
        <v>70</v>
      </c>
      <c r="AB25" s="22" t="str">
        <f t="shared" si="0"/>
        <v/>
      </c>
    </row>
    <row r="26" spans="1:28" x14ac:dyDescent="0.25">
      <c r="A26" s="7" t="s">
        <v>92</v>
      </c>
      <c r="B26" s="4" t="s">
        <v>78</v>
      </c>
      <c r="C26" s="4" t="s">
        <v>86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7" t="s">
        <v>70</v>
      </c>
      <c r="Q26" s="27" t="s">
        <v>70</v>
      </c>
      <c r="R26" s="27" t="s">
        <v>70</v>
      </c>
      <c r="S26" s="27" t="s">
        <v>70</v>
      </c>
      <c r="T26" s="27" t="s">
        <v>70</v>
      </c>
      <c r="U26" s="27" t="s">
        <v>70</v>
      </c>
      <c r="V26" s="27" t="s">
        <v>70</v>
      </c>
      <c r="W26" s="27" t="s">
        <v>70</v>
      </c>
      <c r="X26" s="27" t="s">
        <v>70</v>
      </c>
      <c r="Y26" s="27" t="s">
        <v>70</v>
      </c>
      <c r="Z26" s="27" t="s">
        <v>70</v>
      </c>
      <c r="AA26" s="27" t="s">
        <v>70</v>
      </c>
      <c r="AB26" s="22" t="str">
        <f t="shared" si="0"/>
        <v/>
      </c>
    </row>
    <row r="27" spans="1:28" x14ac:dyDescent="0.25">
      <c r="A27" s="7" t="s">
        <v>93</v>
      </c>
      <c r="B27" s="4" t="s">
        <v>78</v>
      </c>
      <c r="C27" s="4" t="s">
        <v>86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7" t="s">
        <v>70</v>
      </c>
      <c r="Q27" s="27" t="s">
        <v>70</v>
      </c>
      <c r="R27" s="27" t="s">
        <v>70</v>
      </c>
      <c r="S27" s="27" t="s">
        <v>70</v>
      </c>
      <c r="T27" s="27" t="s">
        <v>70</v>
      </c>
      <c r="U27" s="27" t="s">
        <v>70</v>
      </c>
      <c r="V27" s="27" t="s">
        <v>70</v>
      </c>
      <c r="W27" s="27" t="s">
        <v>70</v>
      </c>
      <c r="X27" s="27" t="s">
        <v>70</v>
      </c>
      <c r="Y27" s="27" t="s">
        <v>70</v>
      </c>
      <c r="Z27" s="27" t="s">
        <v>70</v>
      </c>
      <c r="AA27" s="27" t="s">
        <v>70</v>
      </c>
      <c r="AB27" s="22" t="str">
        <f t="shared" si="0"/>
        <v/>
      </c>
    </row>
    <row r="28" spans="1:28" x14ac:dyDescent="0.25">
      <c r="A28" s="7" t="s">
        <v>94</v>
      </c>
      <c r="B28" s="4" t="s">
        <v>78</v>
      </c>
      <c r="C28" s="4" t="s">
        <v>86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7" t="s">
        <v>70</v>
      </c>
      <c r="Q28" s="27" t="s">
        <v>70</v>
      </c>
      <c r="R28" s="27" t="s">
        <v>70</v>
      </c>
      <c r="S28" s="27" t="s">
        <v>70</v>
      </c>
      <c r="T28" s="27" t="s">
        <v>70</v>
      </c>
      <c r="U28" s="27" t="s">
        <v>70</v>
      </c>
      <c r="V28" s="27" t="s">
        <v>70</v>
      </c>
      <c r="W28" s="27" t="s">
        <v>70</v>
      </c>
      <c r="X28" s="27" t="s">
        <v>70</v>
      </c>
      <c r="Y28" s="27" t="s">
        <v>70</v>
      </c>
      <c r="Z28" s="27" t="s">
        <v>70</v>
      </c>
      <c r="AA28" s="27" t="s">
        <v>70</v>
      </c>
      <c r="AB28" s="22" t="str">
        <f t="shared" si="0"/>
        <v/>
      </c>
    </row>
    <row r="29" spans="1:28" x14ac:dyDescent="0.25">
      <c r="A29" s="6" t="s">
        <v>95</v>
      </c>
      <c r="B29" s="4" t="s">
        <v>76</v>
      </c>
      <c r="C29" s="4" t="s">
        <v>86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7" t="s">
        <v>70</v>
      </c>
      <c r="Q29" s="27" t="s">
        <v>70</v>
      </c>
      <c r="R29" s="27" t="s">
        <v>70</v>
      </c>
      <c r="S29" s="27" t="s">
        <v>70</v>
      </c>
      <c r="T29" s="27" t="s">
        <v>70</v>
      </c>
      <c r="U29" s="27" t="s">
        <v>70</v>
      </c>
      <c r="V29" s="27" t="s">
        <v>70</v>
      </c>
      <c r="W29" s="27" t="s">
        <v>70</v>
      </c>
      <c r="X29" s="27" t="s">
        <v>70</v>
      </c>
      <c r="Y29" s="27" t="s">
        <v>70</v>
      </c>
      <c r="Z29" s="27" t="s">
        <v>70</v>
      </c>
      <c r="AA29" s="27" t="s">
        <v>70</v>
      </c>
      <c r="AB29" s="22" t="str">
        <f t="shared" si="0"/>
        <v/>
      </c>
    </row>
    <row r="30" spans="1:28" x14ac:dyDescent="0.25">
      <c r="A30" s="8" t="s">
        <v>96</v>
      </c>
      <c r="B30" s="4" t="s">
        <v>97</v>
      </c>
      <c r="C30" s="4" t="s">
        <v>98</v>
      </c>
      <c r="D30" s="21"/>
      <c r="E30" s="21"/>
      <c r="F30" s="27" t="s">
        <v>116</v>
      </c>
      <c r="G30" s="21"/>
      <c r="H30" s="21"/>
      <c r="I30" s="27" t="s">
        <v>116</v>
      </c>
      <c r="J30" s="21"/>
      <c r="K30" s="21"/>
      <c r="L30" s="27" t="s">
        <v>70</v>
      </c>
      <c r="M30" s="21"/>
      <c r="N30" s="21"/>
      <c r="O30" s="27" t="s">
        <v>70</v>
      </c>
      <c r="P30" s="21"/>
      <c r="Q30" s="21"/>
      <c r="R30" s="27" t="s">
        <v>70</v>
      </c>
      <c r="S30" s="21"/>
      <c r="T30" s="21"/>
      <c r="U30" s="27" t="s">
        <v>70</v>
      </c>
      <c r="V30" s="21"/>
      <c r="W30" s="21"/>
      <c r="X30" s="27" t="s">
        <v>70</v>
      </c>
      <c r="Y30" s="21"/>
      <c r="Z30" s="21"/>
      <c r="AA30" s="27" t="s">
        <v>70</v>
      </c>
      <c r="AB30" s="22" t="str">
        <f t="shared" si="0"/>
        <v/>
      </c>
    </row>
    <row r="31" spans="1:28" x14ac:dyDescent="0.25">
      <c r="A31" s="8" t="s">
        <v>99</v>
      </c>
      <c r="B31" s="4" t="s">
        <v>100</v>
      </c>
      <c r="C31" s="4" t="s">
        <v>101</v>
      </c>
      <c r="D31" s="21"/>
      <c r="E31" s="21"/>
      <c r="F31" s="27" t="s">
        <v>116</v>
      </c>
      <c r="G31" s="21"/>
      <c r="H31" s="21"/>
      <c r="I31" s="27" t="s">
        <v>116</v>
      </c>
      <c r="J31" s="21"/>
      <c r="K31" s="21"/>
      <c r="L31" s="27" t="s">
        <v>70</v>
      </c>
      <c r="M31" s="21"/>
      <c r="N31" s="21"/>
      <c r="O31" s="27" t="s">
        <v>70</v>
      </c>
      <c r="P31" s="21"/>
      <c r="Q31" s="21"/>
      <c r="R31" s="27" t="s">
        <v>70</v>
      </c>
      <c r="S31" s="21"/>
      <c r="T31" s="21"/>
      <c r="U31" s="27" t="s">
        <v>70</v>
      </c>
      <c r="V31" s="21"/>
      <c r="W31" s="21"/>
      <c r="X31" s="27" t="s">
        <v>70</v>
      </c>
      <c r="Y31" s="21"/>
      <c r="Z31" s="21"/>
      <c r="AA31" s="27" t="s">
        <v>70</v>
      </c>
      <c r="AB31" s="22" t="str">
        <f t="shared" si="0"/>
        <v/>
      </c>
    </row>
    <row r="32" spans="1:28" x14ac:dyDescent="0.25">
      <c r="A32" s="8" t="s">
        <v>102</v>
      </c>
      <c r="B32" s="4" t="s">
        <v>100</v>
      </c>
      <c r="C32" s="4" t="s">
        <v>101</v>
      </c>
      <c r="D32" s="21"/>
      <c r="E32" s="21"/>
      <c r="F32" s="27" t="s">
        <v>116</v>
      </c>
      <c r="G32" s="21"/>
      <c r="H32" s="21"/>
      <c r="I32" s="27" t="s">
        <v>116</v>
      </c>
      <c r="J32" s="21"/>
      <c r="K32" s="21"/>
      <c r="L32" s="27" t="s">
        <v>70</v>
      </c>
      <c r="M32" s="21"/>
      <c r="N32" s="21"/>
      <c r="O32" s="27" t="s">
        <v>70</v>
      </c>
      <c r="P32" s="21"/>
      <c r="Q32" s="21"/>
      <c r="R32" s="27" t="s">
        <v>70</v>
      </c>
      <c r="S32" s="21"/>
      <c r="T32" s="21"/>
      <c r="U32" s="27" t="s">
        <v>70</v>
      </c>
      <c r="V32" s="21"/>
      <c r="W32" s="21"/>
      <c r="X32" s="27" t="s">
        <v>70</v>
      </c>
      <c r="Y32" s="21"/>
      <c r="Z32" s="21"/>
      <c r="AA32" s="27" t="s">
        <v>70</v>
      </c>
      <c r="AB32" s="22" t="str">
        <f t="shared" si="0"/>
        <v/>
      </c>
    </row>
    <row r="33" spans="1:28" x14ac:dyDescent="0.25">
      <c r="A33" s="8" t="s">
        <v>103</v>
      </c>
      <c r="B33" s="4" t="s">
        <v>100</v>
      </c>
      <c r="C33" s="4" t="s">
        <v>101</v>
      </c>
      <c r="D33" s="21"/>
      <c r="E33" s="21"/>
      <c r="F33" s="27" t="s">
        <v>116</v>
      </c>
      <c r="G33" s="21"/>
      <c r="H33" s="21"/>
      <c r="I33" s="27" t="s">
        <v>116</v>
      </c>
      <c r="J33" s="21"/>
      <c r="K33" s="21"/>
      <c r="L33" s="27" t="s">
        <v>70</v>
      </c>
      <c r="M33" s="21"/>
      <c r="N33" s="21"/>
      <c r="O33" s="27" t="s">
        <v>70</v>
      </c>
      <c r="P33" s="21"/>
      <c r="Q33" s="21"/>
      <c r="R33" s="27" t="s">
        <v>70</v>
      </c>
      <c r="S33" s="21"/>
      <c r="T33" s="21"/>
      <c r="U33" s="27" t="s">
        <v>70</v>
      </c>
      <c r="V33" s="21"/>
      <c r="W33" s="21"/>
      <c r="X33" s="27" t="s">
        <v>70</v>
      </c>
      <c r="Y33" s="21"/>
      <c r="Z33" s="21"/>
      <c r="AA33" s="27" t="s">
        <v>70</v>
      </c>
      <c r="AB33" s="22" t="str">
        <f t="shared" si="0"/>
        <v/>
      </c>
    </row>
    <row r="34" spans="1:28" x14ac:dyDescent="0.25">
      <c r="A34" s="8" t="s">
        <v>104</v>
      </c>
      <c r="B34" s="4" t="s">
        <v>105</v>
      </c>
      <c r="C34" s="4" t="s">
        <v>106</v>
      </c>
      <c r="D34" s="21"/>
      <c r="E34" s="21"/>
      <c r="F34" s="27" t="s">
        <v>116</v>
      </c>
      <c r="G34" s="21"/>
      <c r="H34" s="21"/>
      <c r="I34" s="27" t="s">
        <v>116</v>
      </c>
      <c r="J34" s="21"/>
      <c r="K34" s="21"/>
      <c r="L34" s="21"/>
      <c r="M34" s="21"/>
      <c r="N34" s="21"/>
      <c r="O34" s="27" t="s">
        <v>70</v>
      </c>
      <c r="P34" s="21"/>
      <c r="Q34" s="21"/>
      <c r="R34" s="21"/>
      <c r="S34" s="21"/>
      <c r="T34" s="21"/>
      <c r="U34" s="27" t="s">
        <v>70</v>
      </c>
      <c r="V34" s="21"/>
      <c r="W34" s="21"/>
      <c r="X34" s="21"/>
      <c r="Y34" s="21"/>
      <c r="Z34" s="21"/>
      <c r="AA34" s="27" t="s">
        <v>70</v>
      </c>
      <c r="AB34" s="22" t="str">
        <f t="shared" si="0"/>
        <v/>
      </c>
    </row>
    <row r="35" spans="1:28" x14ac:dyDescent="0.25">
      <c r="A35" s="6" t="s">
        <v>107</v>
      </c>
      <c r="B35" s="4" t="s">
        <v>108</v>
      </c>
      <c r="C35" s="4" t="s">
        <v>109</v>
      </c>
      <c r="D35" s="27" t="s">
        <v>116</v>
      </c>
      <c r="E35" s="27" t="s">
        <v>116</v>
      </c>
      <c r="F35" s="27" t="s">
        <v>116</v>
      </c>
      <c r="G35" s="27" t="s">
        <v>116</v>
      </c>
      <c r="H35" s="27" t="s">
        <v>116</v>
      </c>
      <c r="I35" s="27" t="s">
        <v>116</v>
      </c>
      <c r="J35" s="27" t="s">
        <v>116</v>
      </c>
      <c r="K35" s="27" t="s">
        <v>116</v>
      </c>
      <c r="L35" s="27" t="s">
        <v>116</v>
      </c>
      <c r="M35" s="27" t="s">
        <v>70</v>
      </c>
      <c r="N35" s="27" t="s">
        <v>70</v>
      </c>
      <c r="O35" s="27" t="s">
        <v>70</v>
      </c>
      <c r="P35" s="27" t="s">
        <v>70</v>
      </c>
      <c r="Q35" s="27" t="s">
        <v>70</v>
      </c>
      <c r="R35" s="27" t="s">
        <v>70</v>
      </c>
      <c r="S35" s="27" t="s">
        <v>70</v>
      </c>
      <c r="T35" s="27" t="s">
        <v>70</v>
      </c>
      <c r="U35" s="27" t="s">
        <v>70</v>
      </c>
      <c r="V35" s="27" t="s">
        <v>70</v>
      </c>
      <c r="W35" s="27" t="s">
        <v>70</v>
      </c>
      <c r="X35" s="27" t="s">
        <v>70</v>
      </c>
      <c r="Y35" s="27" t="s">
        <v>70</v>
      </c>
      <c r="Z35" s="27" t="s">
        <v>70</v>
      </c>
      <c r="AA35" s="27" t="s">
        <v>70</v>
      </c>
      <c r="AB35" s="22" t="str">
        <f t="shared" si="0"/>
        <v/>
      </c>
    </row>
    <row r="36" spans="1:28" x14ac:dyDescent="0.25">
      <c r="A36" s="6" t="s">
        <v>110</v>
      </c>
      <c r="B36" s="4" t="s">
        <v>111</v>
      </c>
      <c r="C36" s="4" t="s">
        <v>112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7" t="s">
        <v>70</v>
      </c>
      <c r="Z36" s="27" t="s">
        <v>70</v>
      </c>
      <c r="AA36" s="27" t="s">
        <v>70</v>
      </c>
      <c r="AB36" s="22" t="str">
        <f t="shared" si="0"/>
        <v/>
      </c>
    </row>
    <row r="37" spans="1:28" x14ac:dyDescent="0.25">
      <c r="A37" s="6" t="s">
        <v>113</v>
      </c>
      <c r="B37" s="4" t="s">
        <v>111</v>
      </c>
      <c r="C37" s="4" t="s">
        <v>63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7" t="s">
        <v>70</v>
      </c>
      <c r="AB37" s="22" t="str">
        <f t="shared" si="0"/>
        <v/>
      </c>
    </row>
    <row r="38" spans="1:28" x14ac:dyDescent="0.25">
      <c r="A38" s="4"/>
      <c r="B38" s="4"/>
      <c r="C38" s="4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spans="1:28" x14ac:dyDescent="0.25">
      <c r="A39" s="9" t="s">
        <v>114</v>
      </c>
      <c r="B39" s="4"/>
      <c r="C39" s="4"/>
      <c r="D39" s="21" t="str">
        <f ca="1">IF(AND($H$3&lt;&gt;"",EDATE($H$3,0)&lt;=TODAY(),EDATE($H$3,1)&gt;TODAY()),"●","")</f>
        <v/>
      </c>
      <c r="E39" s="21" t="str">
        <f ca="1">IF(AND($H$3&lt;&gt;"",EDATE($H$3,1)&lt;=TODAY(),EDATE($H$3,2)&gt;TODAY()),"●","")</f>
        <v/>
      </c>
      <c r="F39" s="21" t="str">
        <f ca="1">IF(AND($H$3&lt;&gt;"",EDATE($H$3,2)&lt;=TODAY(),EDATE($H$3,3)&gt;TODAY()),"●","")</f>
        <v/>
      </c>
      <c r="G39" s="21" t="str">
        <f ca="1">IF(AND($H$3&lt;&gt;"",EDATE($H$3,3)&lt;=TODAY(),EDATE($H$3,4)&gt;TODAY()),"●","")</f>
        <v/>
      </c>
      <c r="H39" s="21" t="str">
        <f ca="1">IF(AND($H$3&lt;&gt;"",EDATE($H$3,4)&lt;=TODAY(),EDATE($H$3,5)&gt;TODAY()),"●","")</f>
        <v/>
      </c>
      <c r="I39" s="21" t="str">
        <f ca="1">IF(AND($H$3&lt;&gt;"",EDATE($H$3,5)&lt;=TODAY(),EDATE($H$3,6)&gt;TODAY()),"●","")</f>
        <v/>
      </c>
      <c r="J39" s="21" t="str">
        <f ca="1">IF(AND($H$3&lt;&gt;"",EDATE($H$3,6)&lt;=TODAY(),EDATE($H$3,7)&gt;TODAY()),"●","")</f>
        <v/>
      </c>
      <c r="K39" s="21" t="str">
        <f ca="1">IF(AND($H$3&lt;&gt;"",EDATE($H$3,7)&lt;=TODAY(),EDATE($H$3,8)&gt;TODAY()),"●","")</f>
        <v/>
      </c>
      <c r="L39" s="21" t="str">
        <f ca="1">IF(AND($H$3&lt;&gt;"",EDATE($H$3,8)&lt;=TODAY(),EDATE($H$3,9)&gt;TODAY()),"●","")</f>
        <v/>
      </c>
      <c r="M39" s="21" t="str">
        <f ca="1">IF(AND($H$3&lt;&gt;"",EDATE($H$3,9)&lt;=TODAY(),EDATE($H$3,10)&gt;TODAY()),"●","")</f>
        <v>●</v>
      </c>
      <c r="N39" s="21" t="str">
        <f ca="1">IF(AND($H$3&lt;&gt;"",EDATE($H$3,10)&lt;=TODAY(),EDATE($H$3,11)&gt;TODAY()),"●","")</f>
        <v/>
      </c>
      <c r="O39" s="21" t="str">
        <f ca="1">IF(AND($H$3&lt;&gt;"",EDATE($H$3,11)&lt;=TODAY(),EDATE($H$3,12)&gt;TODAY()),"●","")</f>
        <v/>
      </c>
      <c r="P39" s="21" t="str">
        <f ca="1">IF(AND($H$3&lt;&gt;"",EDATE($H$3,12)&lt;=TODAY(),EDATE($H$3,13)&gt;TODAY()),"●","")</f>
        <v/>
      </c>
      <c r="Q39" s="21" t="str">
        <f ca="1">IF(AND($H$3&lt;&gt;"",EDATE($H$3,13)&lt;=TODAY(),EDATE($H$3,14)&gt;TODAY()),"●","")</f>
        <v/>
      </c>
      <c r="R39" s="21" t="str">
        <f ca="1">IF(AND($H$3&lt;&gt;"",EDATE($H$3,14)&lt;=TODAY(),EDATE($H$3,15)&gt;TODAY()),"●","")</f>
        <v/>
      </c>
      <c r="S39" s="21" t="str">
        <f ca="1">IF(AND($H$3&lt;&gt;"",EDATE($H$3,15)&lt;=TODAY(),EDATE($H$3,16)&gt;TODAY()),"●","")</f>
        <v/>
      </c>
      <c r="T39" s="21" t="str">
        <f ca="1">IF(AND($H$3&lt;&gt;"",EDATE($H$3,16)&lt;=TODAY(),EDATE($H$3,17)&gt;TODAY()),"●","")</f>
        <v/>
      </c>
      <c r="U39" s="21" t="str">
        <f ca="1">IF(AND($H$3&lt;&gt;"",EDATE($H$3,17)&lt;=TODAY(),EDATE($H$3,18)&gt;TODAY()),"●","")</f>
        <v/>
      </c>
      <c r="V39" s="21" t="str">
        <f ca="1">IF(AND($H$3&lt;&gt;"",EDATE($H$3,18)&lt;=TODAY(),EDATE($H$3,19)&gt;TODAY()),"●","")</f>
        <v/>
      </c>
      <c r="W39" s="21" t="str">
        <f ca="1">IF(AND($H$3&lt;&gt;"",EDATE($H$3,19)&lt;=TODAY(),EDATE($H$3,20)&gt;TODAY()),"●","")</f>
        <v/>
      </c>
      <c r="X39" s="21" t="str">
        <f ca="1">IF(AND($H$3&lt;&gt;"",EDATE($H$3,20)&lt;=TODAY(),EDATE($H$3,21)&gt;TODAY()),"●","")</f>
        <v/>
      </c>
      <c r="Y39" s="21" t="str">
        <f ca="1">IF(AND($H$3&lt;&gt;"",EDATE($H$3,21)&lt;=TODAY(),EDATE($H$3,22)&gt;TODAY()),"●","")</f>
        <v/>
      </c>
      <c r="Z39" s="21" t="str">
        <f ca="1">IF(AND($H$3&lt;&gt;"",EDATE($H$3,22)&lt;=TODAY(),EDATE($H$3,23)&gt;TODAY()),"●","")</f>
        <v/>
      </c>
      <c r="AA39" s="21" t="str">
        <f ca="1">IF(AND($H$3&lt;&gt;"",EDATE($H$3,23)&lt;=TODAY(),EDATE($H$3,24)&gt;TODAY()),"●","")</f>
        <v/>
      </c>
      <c r="AB39" s="21"/>
    </row>
    <row r="41" spans="1:28" x14ac:dyDescent="0.25">
      <c r="A41" s="32" t="s">
        <v>115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</sheetData>
  <autoFilter ref="A5:AB37" xr:uid="{00000000-0009-0000-0000-000005000000}"/>
  <mergeCells count="2">
    <mergeCell ref="A1:AC1"/>
    <mergeCell ref="A41:AB41"/>
  </mergeCells>
  <phoneticPr fontId="5" type="noConversion"/>
  <dataValidations count="1">
    <dataValidation type="list" allowBlank="1" sqref="D8:AA37" xr:uid="{00000000-0002-0000-0500-000000000000}">
      <formula1>"☐,☑"</formula1>
    </dataValidation>
  </dataValidations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41"/>
  <sheetViews>
    <sheetView showGridLines="0" zoomScale="85" zoomScaleNormal="85" workbookViewId="0">
      <pane xSplit="3" ySplit="7" topLeftCell="D14" activePane="bottomRight" state="frozen"/>
      <selection pane="topRight"/>
      <selection pane="bottomLeft"/>
      <selection pane="bottomRight" activeCell="H26" sqref="H26"/>
    </sheetView>
  </sheetViews>
  <sheetFormatPr defaultRowHeight="15.75" x14ac:dyDescent="0.25"/>
  <cols>
    <col min="1" max="1" width="34" style="16" customWidth="1"/>
    <col min="2" max="2" width="16" style="16" customWidth="1"/>
    <col min="3" max="3" width="22" style="16" customWidth="1"/>
    <col min="4" max="27" width="14" style="16" customWidth="1"/>
    <col min="28" max="28" width="12" style="16" customWidth="1"/>
  </cols>
  <sheetData>
    <row r="1" spans="1:29" ht="30" customHeight="1" x14ac:dyDescent="0.4">
      <c r="A1" s="31" t="s">
        <v>33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3" spans="1:29" ht="24" customHeight="1" x14ac:dyDescent="0.25">
      <c r="A3" s="14" t="s">
        <v>1</v>
      </c>
      <c r="B3" s="15" t="s">
        <v>21</v>
      </c>
      <c r="D3" s="14" t="s">
        <v>34</v>
      </c>
      <c r="E3" s="15" t="s">
        <v>22</v>
      </c>
      <c r="G3" s="14" t="s">
        <v>3</v>
      </c>
      <c r="H3" s="24">
        <v>46083</v>
      </c>
      <c r="J3" s="14" t="s">
        <v>35</v>
      </c>
      <c r="K3" s="25">
        <f>IF(H3="","",EDATE(H3,24)-1)</f>
        <v>46813</v>
      </c>
      <c r="M3" s="14" t="s">
        <v>36</v>
      </c>
      <c r="N3" s="13">
        <f ca="1">IF(H3="","",MAX(1,DATEDIF(H3,TODAY(),"m")+1))</f>
        <v>7</v>
      </c>
    </row>
    <row r="5" spans="1:29" x14ac:dyDescent="0.25">
      <c r="A5" s="2" t="s">
        <v>37</v>
      </c>
      <c r="B5" s="2" t="s">
        <v>38</v>
      </c>
      <c r="C5" s="2" t="s">
        <v>39</v>
      </c>
      <c r="D5" s="20" t="s">
        <v>40</v>
      </c>
      <c r="E5" s="20" t="s">
        <v>41</v>
      </c>
      <c r="F5" s="20" t="s">
        <v>42</v>
      </c>
      <c r="G5" s="20" t="s">
        <v>43</v>
      </c>
      <c r="H5" s="20" t="s">
        <v>44</v>
      </c>
      <c r="I5" s="20" t="s">
        <v>45</v>
      </c>
      <c r="J5" s="20" t="s">
        <v>46</v>
      </c>
      <c r="K5" s="20" t="s">
        <v>47</v>
      </c>
      <c r="L5" s="20" t="s">
        <v>48</v>
      </c>
      <c r="M5" s="20" t="s">
        <v>49</v>
      </c>
      <c r="N5" s="20" t="s">
        <v>50</v>
      </c>
      <c r="O5" s="20" t="s">
        <v>51</v>
      </c>
      <c r="P5" s="20" t="s">
        <v>52</v>
      </c>
      <c r="Q5" s="20" t="s">
        <v>53</v>
      </c>
      <c r="R5" s="20" t="s">
        <v>54</v>
      </c>
      <c r="S5" s="20" t="s">
        <v>55</v>
      </c>
      <c r="T5" s="20" t="s">
        <v>56</v>
      </c>
      <c r="U5" s="20" t="s">
        <v>57</v>
      </c>
      <c r="V5" s="20" t="s">
        <v>58</v>
      </c>
      <c r="W5" s="20" t="s">
        <v>59</v>
      </c>
      <c r="X5" s="20" t="s">
        <v>60</v>
      </c>
      <c r="Y5" s="20" t="s">
        <v>61</v>
      </c>
      <c r="Z5" s="20" t="s">
        <v>62</v>
      </c>
      <c r="AA5" s="20" t="s">
        <v>63</v>
      </c>
      <c r="AB5" s="20" t="s">
        <v>64</v>
      </c>
    </row>
    <row r="6" spans="1:29" x14ac:dyDescent="0.25">
      <c r="A6" s="3" t="s">
        <v>65</v>
      </c>
      <c r="B6" s="4"/>
      <c r="C6" s="4" t="s">
        <v>66</v>
      </c>
      <c r="D6" s="26">
        <f>IF($H$3="","",EDATE($H$3,0))</f>
        <v>46083</v>
      </c>
      <c r="E6" s="26">
        <f>IF($H$3="","",EDATE($H$3,1))</f>
        <v>46114</v>
      </c>
      <c r="F6" s="26">
        <f>IF($H$3="","",EDATE($H$3,2))</f>
        <v>46144</v>
      </c>
      <c r="G6" s="26">
        <f>IF($H$3="","",EDATE($H$3,3))</f>
        <v>46175</v>
      </c>
      <c r="H6" s="26">
        <f>IF($H$3="","",EDATE($H$3,4))</f>
        <v>46205</v>
      </c>
      <c r="I6" s="26">
        <f>IF($H$3="","",EDATE($H$3,5))</f>
        <v>46236</v>
      </c>
      <c r="J6" s="26">
        <f>IF($H$3="","",EDATE($H$3,6))</f>
        <v>46267</v>
      </c>
      <c r="K6" s="26">
        <f>IF($H$3="","",EDATE($H$3,7))</f>
        <v>46297</v>
      </c>
      <c r="L6" s="26">
        <f>IF($H$3="","",EDATE($H$3,8))</f>
        <v>46328</v>
      </c>
      <c r="M6" s="26">
        <f>IF($H$3="","",EDATE($H$3,9))</f>
        <v>46358</v>
      </c>
      <c r="N6" s="26">
        <f>IF($H$3="","",EDATE($H$3,10))</f>
        <v>46389</v>
      </c>
      <c r="O6" s="26">
        <f>IF($H$3="","",EDATE($H$3,11))</f>
        <v>46420</v>
      </c>
      <c r="P6" s="26">
        <f>IF($H$3="","",EDATE($H$3,12))</f>
        <v>46448</v>
      </c>
      <c r="Q6" s="26">
        <f>IF($H$3="","",EDATE($H$3,13))</f>
        <v>46479</v>
      </c>
      <c r="R6" s="26">
        <f>IF($H$3="","",EDATE($H$3,14))</f>
        <v>46509</v>
      </c>
      <c r="S6" s="26">
        <f>IF($H$3="","",EDATE($H$3,15))</f>
        <v>46540</v>
      </c>
      <c r="T6" s="26">
        <f>IF($H$3="","",EDATE($H$3,16))</f>
        <v>46570</v>
      </c>
      <c r="U6" s="26">
        <f>IF($H$3="","",EDATE($H$3,17))</f>
        <v>46601</v>
      </c>
      <c r="V6" s="26">
        <f>IF($H$3="","",EDATE($H$3,18))</f>
        <v>46632</v>
      </c>
      <c r="W6" s="26">
        <f>IF($H$3="","",EDATE($H$3,19))</f>
        <v>46662</v>
      </c>
      <c r="X6" s="26">
        <f>IF($H$3="","",EDATE($H$3,20))</f>
        <v>46693</v>
      </c>
      <c r="Y6" s="26">
        <f>IF($H$3="","",EDATE($H$3,21))</f>
        <v>46723</v>
      </c>
      <c r="Z6" s="26">
        <f>IF($H$3="","",EDATE($H$3,22))</f>
        <v>46754</v>
      </c>
      <c r="AA6" s="26">
        <f>IF($H$3="","",EDATE($H$3,23))</f>
        <v>46785</v>
      </c>
      <c r="AB6" s="21"/>
    </row>
    <row r="7" spans="1:29" x14ac:dyDescent="0.25">
      <c r="A7" s="4"/>
      <c r="B7" s="4"/>
      <c r="C7" s="4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9" x14ac:dyDescent="0.25">
      <c r="A8" s="5" t="s">
        <v>67</v>
      </c>
      <c r="B8" s="4" t="s">
        <v>68</v>
      </c>
      <c r="C8" s="4" t="s">
        <v>69</v>
      </c>
      <c r="D8" s="27" t="s">
        <v>116</v>
      </c>
      <c r="E8" s="27" t="s">
        <v>116</v>
      </c>
      <c r="F8" s="27" t="s">
        <v>116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2" t="str">
        <f t="shared" ref="AB8:AB37" si="0">IF(COUNTIF(D8:AA8,"○")+COUNTIF(D8:AA8,"✓")=0,"",COUNTIF(D8:AA8,"✓")/(COUNTIF(D8:AA8,"○")+COUNTIF(D8:AA8,"✓")))</f>
        <v/>
      </c>
    </row>
    <row r="9" spans="1:29" x14ac:dyDescent="0.25">
      <c r="A9" s="5" t="s">
        <v>71</v>
      </c>
      <c r="B9" s="4" t="s">
        <v>68</v>
      </c>
      <c r="C9" s="4" t="s">
        <v>69</v>
      </c>
      <c r="D9" s="27" t="s">
        <v>116</v>
      </c>
      <c r="E9" s="27" t="s">
        <v>116</v>
      </c>
      <c r="F9" s="27" t="s">
        <v>116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2" t="str">
        <f t="shared" si="0"/>
        <v/>
      </c>
    </row>
    <row r="10" spans="1:29" x14ac:dyDescent="0.25">
      <c r="A10" s="5" t="s">
        <v>72</v>
      </c>
      <c r="B10" s="4" t="s">
        <v>68</v>
      </c>
      <c r="C10" s="4" t="s">
        <v>69</v>
      </c>
      <c r="D10" s="27" t="s">
        <v>116</v>
      </c>
      <c r="E10" s="27" t="s">
        <v>116</v>
      </c>
      <c r="F10" s="27" t="s">
        <v>116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2" t="str">
        <f t="shared" si="0"/>
        <v/>
      </c>
    </row>
    <row r="11" spans="1:29" x14ac:dyDescent="0.25">
      <c r="A11" s="5" t="s">
        <v>73</v>
      </c>
      <c r="B11" s="4" t="s">
        <v>68</v>
      </c>
      <c r="C11" s="4" t="s">
        <v>69</v>
      </c>
      <c r="D11" s="27" t="s">
        <v>116</v>
      </c>
      <c r="E11" s="27" t="s">
        <v>116</v>
      </c>
      <c r="F11" s="27" t="s">
        <v>116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2" t="str">
        <f t="shared" si="0"/>
        <v/>
      </c>
    </row>
    <row r="12" spans="1:29" x14ac:dyDescent="0.25">
      <c r="A12" s="5" t="s">
        <v>74</v>
      </c>
      <c r="B12" s="4" t="s">
        <v>68</v>
      </c>
      <c r="C12" s="4" t="s">
        <v>69</v>
      </c>
      <c r="D12" s="27" t="s">
        <v>116</v>
      </c>
      <c r="E12" s="27" t="s">
        <v>116</v>
      </c>
      <c r="F12" s="27" t="s">
        <v>116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2" t="str">
        <f t="shared" si="0"/>
        <v/>
      </c>
    </row>
    <row r="13" spans="1:29" x14ac:dyDescent="0.25">
      <c r="A13" s="6" t="s">
        <v>75</v>
      </c>
      <c r="B13" s="4" t="s">
        <v>76</v>
      </c>
      <c r="C13" s="4" t="s">
        <v>69</v>
      </c>
      <c r="D13" s="27" t="s">
        <v>116</v>
      </c>
      <c r="E13" s="27" t="s">
        <v>116</v>
      </c>
      <c r="F13" s="27" t="s">
        <v>116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2" t="str">
        <f t="shared" si="0"/>
        <v/>
      </c>
    </row>
    <row r="14" spans="1:29" x14ac:dyDescent="0.25">
      <c r="A14" s="7" t="s">
        <v>77</v>
      </c>
      <c r="B14" s="4" t="s">
        <v>78</v>
      </c>
      <c r="C14" s="4" t="s">
        <v>79</v>
      </c>
      <c r="D14" s="21"/>
      <c r="E14" s="21"/>
      <c r="F14" s="21"/>
      <c r="G14" s="27" t="s">
        <v>116</v>
      </c>
      <c r="H14" s="27" t="s">
        <v>116</v>
      </c>
      <c r="I14" s="27" t="s">
        <v>116</v>
      </c>
      <c r="J14" s="27" t="s">
        <v>70</v>
      </c>
      <c r="K14" s="27" t="s">
        <v>70</v>
      </c>
      <c r="L14" s="27" t="s">
        <v>70</v>
      </c>
      <c r="M14" s="27" t="s">
        <v>70</v>
      </c>
      <c r="N14" s="27" t="s">
        <v>70</v>
      </c>
      <c r="O14" s="27" t="s">
        <v>70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2" t="str">
        <f t="shared" si="0"/>
        <v/>
      </c>
    </row>
    <row r="15" spans="1:29" x14ac:dyDescent="0.25">
      <c r="A15" s="7" t="s">
        <v>80</v>
      </c>
      <c r="B15" s="4" t="s">
        <v>78</v>
      </c>
      <c r="C15" s="4" t="s">
        <v>79</v>
      </c>
      <c r="D15" s="21"/>
      <c r="E15" s="21"/>
      <c r="F15" s="21"/>
      <c r="G15" s="27" t="s">
        <v>116</v>
      </c>
      <c r="H15" s="27" t="s">
        <v>116</v>
      </c>
      <c r="I15" s="27" t="s">
        <v>116</v>
      </c>
      <c r="J15" s="27" t="s">
        <v>70</v>
      </c>
      <c r="K15" s="27" t="s">
        <v>70</v>
      </c>
      <c r="L15" s="27" t="s">
        <v>70</v>
      </c>
      <c r="M15" s="27" t="s">
        <v>70</v>
      </c>
      <c r="N15" s="27" t="s">
        <v>70</v>
      </c>
      <c r="O15" s="27" t="s">
        <v>70</v>
      </c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2" t="str">
        <f t="shared" si="0"/>
        <v/>
      </c>
    </row>
    <row r="16" spans="1:29" x14ac:dyDescent="0.25">
      <c r="A16" s="7" t="s">
        <v>81</v>
      </c>
      <c r="B16" s="4" t="s">
        <v>78</v>
      </c>
      <c r="C16" s="4" t="s">
        <v>79</v>
      </c>
      <c r="D16" s="21"/>
      <c r="E16" s="21"/>
      <c r="F16" s="21"/>
      <c r="G16" s="27" t="s">
        <v>116</v>
      </c>
      <c r="H16" s="27" t="s">
        <v>116</v>
      </c>
      <c r="I16" s="27" t="s">
        <v>116</v>
      </c>
      <c r="J16" s="27" t="s">
        <v>70</v>
      </c>
      <c r="K16" s="27" t="s">
        <v>70</v>
      </c>
      <c r="L16" s="27" t="s">
        <v>70</v>
      </c>
      <c r="M16" s="27" t="s">
        <v>70</v>
      </c>
      <c r="N16" s="27" t="s">
        <v>70</v>
      </c>
      <c r="O16" s="27" t="s">
        <v>70</v>
      </c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2" t="str">
        <f t="shared" si="0"/>
        <v/>
      </c>
    </row>
    <row r="17" spans="1:28" ht="31.5" customHeight="1" x14ac:dyDescent="0.25">
      <c r="A17" s="7" t="s">
        <v>82</v>
      </c>
      <c r="B17" s="4" t="s">
        <v>78</v>
      </c>
      <c r="C17" s="4" t="s">
        <v>79</v>
      </c>
      <c r="D17" s="21"/>
      <c r="E17" s="21"/>
      <c r="F17" s="21"/>
      <c r="G17" s="27" t="s">
        <v>116</v>
      </c>
      <c r="H17" s="27" t="s">
        <v>116</v>
      </c>
      <c r="I17" s="27" t="s">
        <v>116</v>
      </c>
      <c r="J17" s="27" t="s">
        <v>70</v>
      </c>
      <c r="K17" s="27" t="s">
        <v>70</v>
      </c>
      <c r="L17" s="27" t="s">
        <v>70</v>
      </c>
      <c r="M17" s="27" t="s">
        <v>70</v>
      </c>
      <c r="N17" s="27" t="s">
        <v>70</v>
      </c>
      <c r="O17" s="27" t="s">
        <v>70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2" t="str">
        <f t="shared" si="0"/>
        <v/>
      </c>
    </row>
    <row r="18" spans="1:28" x14ac:dyDescent="0.25">
      <c r="A18" s="7" t="s">
        <v>83</v>
      </c>
      <c r="B18" s="4" t="s">
        <v>78</v>
      </c>
      <c r="C18" s="4" t="s">
        <v>79</v>
      </c>
      <c r="D18" s="21"/>
      <c r="E18" s="21"/>
      <c r="F18" s="21"/>
      <c r="G18" s="27" t="s">
        <v>116</v>
      </c>
      <c r="H18" s="27" t="s">
        <v>116</v>
      </c>
      <c r="I18" s="27" t="s">
        <v>116</v>
      </c>
      <c r="J18" s="27" t="s">
        <v>70</v>
      </c>
      <c r="K18" s="27" t="s">
        <v>70</v>
      </c>
      <c r="L18" s="27" t="s">
        <v>70</v>
      </c>
      <c r="M18" s="27" t="s">
        <v>70</v>
      </c>
      <c r="N18" s="27" t="s">
        <v>70</v>
      </c>
      <c r="O18" s="27" t="s">
        <v>70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2" t="str">
        <f t="shared" si="0"/>
        <v/>
      </c>
    </row>
    <row r="19" spans="1:28" x14ac:dyDescent="0.25">
      <c r="A19" s="6" t="s">
        <v>84</v>
      </c>
      <c r="B19" s="4" t="s">
        <v>76</v>
      </c>
      <c r="C19" s="4" t="s">
        <v>79</v>
      </c>
      <c r="D19" s="21"/>
      <c r="E19" s="21"/>
      <c r="F19" s="21"/>
      <c r="G19" s="27" t="s">
        <v>116</v>
      </c>
      <c r="H19" s="27" t="s">
        <v>116</v>
      </c>
      <c r="I19" s="27" t="s">
        <v>116</v>
      </c>
      <c r="J19" s="27" t="s">
        <v>70</v>
      </c>
      <c r="K19" s="27" t="s">
        <v>70</v>
      </c>
      <c r="L19" s="27" t="s">
        <v>70</v>
      </c>
      <c r="M19" s="27" t="s">
        <v>70</v>
      </c>
      <c r="N19" s="27" t="s">
        <v>70</v>
      </c>
      <c r="O19" s="27" t="s">
        <v>70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2" t="str">
        <f t="shared" si="0"/>
        <v/>
      </c>
    </row>
    <row r="20" spans="1:28" x14ac:dyDescent="0.25">
      <c r="A20" s="7" t="s">
        <v>85</v>
      </c>
      <c r="B20" s="4" t="s">
        <v>78</v>
      </c>
      <c r="C20" s="4" t="s">
        <v>86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7" t="s">
        <v>70</v>
      </c>
      <c r="Q20" s="27" t="s">
        <v>70</v>
      </c>
      <c r="R20" s="27" t="s">
        <v>70</v>
      </c>
      <c r="S20" s="27" t="s">
        <v>70</v>
      </c>
      <c r="T20" s="27" t="s">
        <v>70</v>
      </c>
      <c r="U20" s="27" t="s">
        <v>70</v>
      </c>
      <c r="V20" s="27" t="s">
        <v>70</v>
      </c>
      <c r="W20" s="27" t="s">
        <v>70</v>
      </c>
      <c r="X20" s="27" t="s">
        <v>70</v>
      </c>
      <c r="Y20" s="27" t="s">
        <v>70</v>
      </c>
      <c r="Z20" s="27" t="s">
        <v>70</v>
      </c>
      <c r="AA20" s="27" t="s">
        <v>70</v>
      </c>
      <c r="AB20" s="22" t="str">
        <f t="shared" si="0"/>
        <v/>
      </c>
    </row>
    <row r="21" spans="1:28" x14ac:dyDescent="0.25">
      <c r="A21" s="7" t="s">
        <v>87</v>
      </c>
      <c r="B21" s="4" t="s">
        <v>78</v>
      </c>
      <c r="C21" s="4" t="s">
        <v>86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7" t="s">
        <v>70</v>
      </c>
      <c r="Q21" s="27" t="s">
        <v>70</v>
      </c>
      <c r="R21" s="27" t="s">
        <v>70</v>
      </c>
      <c r="S21" s="27" t="s">
        <v>70</v>
      </c>
      <c r="T21" s="27" t="s">
        <v>70</v>
      </c>
      <c r="U21" s="27" t="s">
        <v>70</v>
      </c>
      <c r="V21" s="27" t="s">
        <v>70</v>
      </c>
      <c r="W21" s="27" t="s">
        <v>70</v>
      </c>
      <c r="X21" s="27" t="s">
        <v>70</v>
      </c>
      <c r="Y21" s="27" t="s">
        <v>70</v>
      </c>
      <c r="Z21" s="27" t="s">
        <v>70</v>
      </c>
      <c r="AA21" s="27" t="s">
        <v>70</v>
      </c>
      <c r="AB21" s="22" t="str">
        <f t="shared" si="0"/>
        <v/>
      </c>
    </row>
    <row r="22" spans="1:28" x14ac:dyDescent="0.25">
      <c r="A22" s="7" t="s">
        <v>88</v>
      </c>
      <c r="B22" s="4" t="s">
        <v>78</v>
      </c>
      <c r="C22" s="4" t="s">
        <v>86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7" t="s">
        <v>70</v>
      </c>
      <c r="Q22" s="27" t="s">
        <v>70</v>
      </c>
      <c r="R22" s="27" t="s">
        <v>70</v>
      </c>
      <c r="S22" s="27" t="s">
        <v>70</v>
      </c>
      <c r="T22" s="27" t="s">
        <v>70</v>
      </c>
      <c r="U22" s="27" t="s">
        <v>70</v>
      </c>
      <c r="V22" s="27" t="s">
        <v>70</v>
      </c>
      <c r="W22" s="27" t="s">
        <v>70</v>
      </c>
      <c r="X22" s="27" t="s">
        <v>70</v>
      </c>
      <c r="Y22" s="27" t="s">
        <v>70</v>
      </c>
      <c r="Z22" s="27" t="s">
        <v>70</v>
      </c>
      <c r="AA22" s="27" t="s">
        <v>70</v>
      </c>
      <c r="AB22" s="22" t="str">
        <f t="shared" si="0"/>
        <v/>
      </c>
    </row>
    <row r="23" spans="1:28" x14ac:dyDescent="0.25">
      <c r="A23" s="7" t="s">
        <v>89</v>
      </c>
      <c r="B23" s="4" t="s">
        <v>78</v>
      </c>
      <c r="C23" s="4" t="s">
        <v>86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7" t="s">
        <v>70</v>
      </c>
      <c r="Q23" s="27" t="s">
        <v>70</v>
      </c>
      <c r="R23" s="27" t="s">
        <v>70</v>
      </c>
      <c r="S23" s="27" t="s">
        <v>70</v>
      </c>
      <c r="T23" s="27" t="s">
        <v>70</v>
      </c>
      <c r="U23" s="27" t="s">
        <v>70</v>
      </c>
      <c r="V23" s="27" t="s">
        <v>70</v>
      </c>
      <c r="W23" s="27" t="s">
        <v>70</v>
      </c>
      <c r="X23" s="27" t="s">
        <v>70</v>
      </c>
      <c r="Y23" s="27" t="s">
        <v>70</v>
      </c>
      <c r="Z23" s="27" t="s">
        <v>70</v>
      </c>
      <c r="AA23" s="27" t="s">
        <v>70</v>
      </c>
      <c r="AB23" s="22" t="str">
        <f t="shared" si="0"/>
        <v/>
      </c>
    </row>
    <row r="24" spans="1:28" x14ac:dyDescent="0.25">
      <c r="A24" s="7" t="s">
        <v>90</v>
      </c>
      <c r="B24" s="4" t="s">
        <v>78</v>
      </c>
      <c r="C24" s="4" t="s">
        <v>86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7" t="s">
        <v>70</v>
      </c>
      <c r="Q24" s="27" t="s">
        <v>70</v>
      </c>
      <c r="R24" s="27" t="s">
        <v>70</v>
      </c>
      <c r="S24" s="27" t="s">
        <v>70</v>
      </c>
      <c r="T24" s="27" t="s">
        <v>70</v>
      </c>
      <c r="U24" s="27" t="s">
        <v>70</v>
      </c>
      <c r="V24" s="27" t="s">
        <v>70</v>
      </c>
      <c r="W24" s="27" t="s">
        <v>70</v>
      </c>
      <c r="X24" s="27" t="s">
        <v>70</v>
      </c>
      <c r="Y24" s="27" t="s">
        <v>70</v>
      </c>
      <c r="Z24" s="27" t="s">
        <v>70</v>
      </c>
      <c r="AA24" s="27" t="s">
        <v>70</v>
      </c>
      <c r="AB24" s="22" t="str">
        <f t="shared" si="0"/>
        <v/>
      </c>
    </row>
    <row r="25" spans="1:28" x14ac:dyDescent="0.25">
      <c r="A25" s="7" t="s">
        <v>91</v>
      </c>
      <c r="B25" s="4" t="s">
        <v>78</v>
      </c>
      <c r="C25" s="4" t="s">
        <v>86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7" t="s">
        <v>70</v>
      </c>
      <c r="Q25" s="27" t="s">
        <v>70</v>
      </c>
      <c r="R25" s="27" t="s">
        <v>70</v>
      </c>
      <c r="S25" s="27" t="s">
        <v>70</v>
      </c>
      <c r="T25" s="27" t="s">
        <v>70</v>
      </c>
      <c r="U25" s="27" t="s">
        <v>70</v>
      </c>
      <c r="V25" s="27" t="s">
        <v>70</v>
      </c>
      <c r="W25" s="27" t="s">
        <v>70</v>
      </c>
      <c r="X25" s="27" t="s">
        <v>70</v>
      </c>
      <c r="Y25" s="27" t="s">
        <v>70</v>
      </c>
      <c r="Z25" s="27" t="s">
        <v>70</v>
      </c>
      <c r="AA25" s="27" t="s">
        <v>70</v>
      </c>
      <c r="AB25" s="22" t="str">
        <f t="shared" si="0"/>
        <v/>
      </c>
    </row>
    <row r="26" spans="1:28" x14ac:dyDescent="0.25">
      <c r="A26" s="7" t="s">
        <v>92</v>
      </c>
      <c r="B26" s="4" t="s">
        <v>78</v>
      </c>
      <c r="C26" s="4" t="s">
        <v>86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7" t="s">
        <v>70</v>
      </c>
      <c r="Q26" s="27" t="s">
        <v>70</v>
      </c>
      <c r="R26" s="27" t="s">
        <v>70</v>
      </c>
      <c r="S26" s="27" t="s">
        <v>70</v>
      </c>
      <c r="T26" s="27" t="s">
        <v>70</v>
      </c>
      <c r="U26" s="27" t="s">
        <v>70</v>
      </c>
      <c r="V26" s="27" t="s">
        <v>70</v>
      </c>
      <c r="W26" s="27" t="s">
        <v>70</v>
      </c>
      <c r="X26" s="27" t="s">
        <v>70</v>
      </c>
      <c r="Y26" s="27" t="s">
        <v>70</v>
      </c>
      <c r="Z26" s="27" t="s">
        <v>70</v>
      </c>
      <c r="AA26" s="27" t="s">
        <v>70</v>
      </c>
      <c r="AB26" s="22" t="str">
        <f t="shared" si="0"/>
        <v/>
      </c>
    </row>
    <row r="27" spans="1:28" x14ac:dyDescent="0.25">
      <c r="A27" s="7" t="s">
        <v>93</v>
      </c>
      <c r="B27" s="4" t="s">
        <v>78</v>
      </c>
      <c r="C27" s="4" t="s">
        <v>86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7" t="s">
        <v>70</v>
      </c>
      <c r="Q27" s="27" t="s">
        <v>70</v>
      </c>
      <c r="R27" s="27" t="s">
        <v>70</v>
      </c>
      <c r="S27" s="27" t="s">
        <v>70</v>
      </c>
      <c r="T27" s="27" t="s">
        <v>70</v>
      </c>
      <c r="U27" s="27" t="s">
        <v>70</v>
      </c>
      <c r="V27" s="27" t="s">
        <v>70</v>
      </c>
      <c r="W27" s="27" t="s">
        <v>70</v>
      </c>
      <c r="X27" s="27" t="s">
        <v>70</v>
      </c>
      <c r="Y27" s="27" t="s">
        <v>70</v>
      </c>
      <c r="Z27" s="27" t="s">
        <v>70</v>
      </c>
      <c r="AA27" s="27" t="s">
        <v>70</v>
      </c>
      <c r="AB27" s="22" t="str">
        <f t="shared" si="0"/>
        <v/>
      </c>
    </row>
    <row r="28" spans="1:28" x14ac:dyDescent="0.25">
      <c r="A28" s="7" t="s">
        <v>94</v>
      </c>
      <c r="B28" s="4" t="s">
        <v>78</v>
      </c>
      <c r="C28" s="4" t="s">
        <v>86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7" t="s">
        <v>70</v>
      </c>
      <c r="Q28" s="27" t="s">
        <v>70</v>
      </c>
      <c r="R28" s="27" t="s">
        <v>70</v>
      </c>
      <c r="S28" s="27" t="s">
        <v>70</v>
      </c>
      <c r="T28" s="27" t="s">
        <v>70</v>
      </c>
      <c r="U28" s="27" t="s">
        <v>70</v>
      </c>
      <c r="V28" s="27" t="s">
        <v>70</v>
      </c>
      <c r="W28" s="27" t="s">
        <v>70</v>
      </c>
      <c r="X28" s="27" t="s">
        <v>70</v>
      </c>
      <c r="Y28" s="27" t="s">
        <v>70</v>
      </c>
      <c r="Z28" s="27" t="s">
        <v>70</v>
      </c>
      <c r="AA28" s="27" t="s">
        <v>70</v>
      </c>
      <c r="AB28" s="22" t="str">
        <f t="shared" si="0"/>
        <v/>
      </c>
    </row>
    <row r="29" spans="1:28" x14ac:dyDescent="0.25">
      <c r="A29" s="6" t="s">
        <v>95</v>
      </c>
      <c r="B29" s="4" t="s">
        <v>76</v>
      </c>
      <c r="C29" s="4" t="s">
        <v>86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7" t="s">
        <v>70</v>
      </c>
      <c r="Q29" s="27" t="s">
        <v>70</v>
      </c>
      <c r="R29" s="27" t="s">
        <v>70</v>
      </c>
      <c r="S29" s="27" t="s">
        <v>70</v>
      </c>
      <c r="T29" s="27" t="s">
        <v>70</v>
      </c>
      <c r="U29" s="27" t="s">
        <v>70</v>
      </c>
      <c r="V29" s="27" t="s">
        <v>70</v>
      </c>
      <c r="W29" s="27" t="s">
        <v>70</v>
      </c>
      <c r="X29" s="27" t="s">
        <v>70</v>
      </c>
      <c r="Y29" s="27" t="s">
        <v>70</v>
      </c>
      <c r="Z29" s="27" t="s">
        <v>70</v>
      </c>
      <c r="AA29" s="27" t="s">
        <v>70</v>
      </c>
      <c r="AB29" s="22" t="str">
        <f t="shared" si="0"/>
        <v/>
      </c>
    </row>
    <row r="30" spans="1:28" x14ac:dyDescent="0.25">
      <c r="A30" s="8" t="s">
        <v>96</v>
      </c>
      <c r="B30" s="4" t="s">
        <v>97</v>
      </c>
      <c r="C30" s="4" t="s">
        <v>98</v>
      </c>
      <c r="D30" s="21"/>
      <c r="E30" s="21"/>
      <c r="F30" s="27" t="s">
        <v>116</v>
      </c>
      <c r="G30" s="21"/>
      <c r="H30" s="21"/>
      <c r="I30" s="27" t="s">
        <v>70</v>
      </c>
      <c r="J30" s="21"/>
      <c r="K30" s="21"/>
      <c r="L30" s="27" t="s">
        <v>70</v>
      </c>
      <c r="M30" s="21"/>
      <c r="N30" s="21"/>
      <c r="O30" s="27" t="s">
        <v>70</v>
      </c>
      <c r="P30" s="21"/>
      <c r="Q30" s="21"/>
      <c r="R30" s="27" t="s">
        <v>70</v>
      </c>
      <c r="S30" s="21"/>
      <c r="T30" s="21"/>
      <c r="U30" s="27" t="s">
        <v>70</v>
      </c>
      <c r="V30" s="21"/>
      <c r="W30" s="21"/>
      <c r="X30" s="27" t="s">
        <v>70</v>
      </c>
      <c r="Y30" s="21"/>
      <c r="Z30" s="21"/>
      <c r="AA30" s="27" t="s">
        <v>70</v>
      </c>
      <c r="AB30" s="22" t="str">
        <f t="shared" si="0"/>
        <v/>
      </c>
    </row>
    <row r="31" spans="1:28" x14ac:dyDescent="0.25">
      <c r="A31" s="8" t="s">
        <v>99</v>
      </c>
      <c r="B31" s="4" t="s">
        <v>100</v>
      </c>
      <c r="C31" s="4" t="s">
        <v>101</v>
      </c>
      <c r="D31" s="21"/>
      <c r="E31" s="21"/>
      <c r="F31" s="27" t="s">
        <v>116</v>
      </c>
      <c r="G31" s="21"/>
      <c r="H31" s="21"/>
      <c r="I31" s="27" t="s">
        <v>70</v>
      </c>
      <c r="J31" s="21"/>
      <c r="K31" s="21"/>
      <c r="L31" s="27" t="s">
        <v>70</v>
      </c>
      <c r="M31" s="21"/>
      <c r="N31" s="21"/>
      <c r="O31" s="27" t="s">
        <v>70</v>
      </c>
      <c r="P31" s="21"/>
      <c r="Q31" s="21"/>
      <c r="R31" s="27" t="s">
        <v>70</v>
      </c>
      <c r="S31" s="21"/>
      <c r="T31" s="21"/>
      <c r="U31" s="27" t="s">
        <v>70</v>
      </c>
      <c r="V31" s="21"/>
      <c r="W31" s="21"/>
      <c r="X31" s="27" t="s">
        <v>70</v>
      </c>
      <c r="Y31" s="21"/>
      <c r="Z31" s="21"/>
      <c r="AA31" s="27" t="s">
        <v>70</v>
      </c>
      <c r="AB31" s="22" t="str">
        <f t="shared" si="0"/>
        <v/>
      </c>
    </row>
    <row r="32" spans="1:28" x14ac:dyDescent="0.25">
      <c r="A32" s="8" t="s">
        <v>102</v>
      </c>
      <c r="B32" s="4" t="s">
        <v>100</v>
      </c>
      <c r="C32" s="4" t="s">
        <v>101</v>
      </c>
      <c r="D32" s="21"/>
      <c r="E32" s="21"/>
      <c r="F32" s="27" t="s">
        <v>116</v>
      </c>
      <c r="G32" s="21"/>
      <c r="H32" s="21"/>
      <c r="I32" s="27" t="s">
        <v>70</v>
      </c>
      <c r="J32" s="21"/>
      <c r="K32" s="21"/>
      <c r="L32" s="27" t="s">
        <v>70</v>
      </c>
      <c r="M32" s="21"/>
      <c r="N32" s="21"/>
      <c r="O32" s="27" t="s">
        <v>70</v>
      </c>
      <c r="P32" s="21"/>
      <c r="Q32" s="21"/>
      <c r="R32" s="27" t="s">
        <v>70</v>
      </c>
      <c r="S32" s="21"/>
      <c r="T32" s="21"/>
      <c r="U32" s="27" t="s">
        <v>70</v>
      </c>
      <c r="V32" s="21"/>
      <c r="W32" s="21"/>
      <c r="X32" s="27" t="s">
        <v>70</v>
      </c>
      <c r="Y32" s="21"/>
      <c r="Z32" s="21"/>
      <c r="AA32" s="27" t="s">
        <v>70</v>
      </c>
      <c r="AB32" s="22" t="str">
        <f t="shared" si="0"/>
        <v/>
      </c>
    </row>
    <row r="33" spans="1:28" x14ac:dyDescent="0.25">
      <c r="A33" s="8" t="s">
        <v>103</v>
      </c>
      <c r="B33" s="4" t="s">
        <v>100</v>
      </c>
      <c r="C33" s="4" t="s">
        <v>101</v>
      </c>
      <c r="D33" s="21"/>
      <c r="E33" s="21"/>
      <c r="F33" s="27" t="s">
        <v>116</v>
      </c>
      <c r="G33" s="21"/>
      <c r="H33" s="21"/>
      <c r="I33" s="27" t="s">
        <v>70</v>
      </c>
      <c r="J33" s="21"/>
      <c r="K33" s="21"/>
      <c r="L33" s="27" t="s">
        <v>70</v>
      </c>
      <c r="M33" s="21"/>
      <c r="N33" s="21"/>
      <c r="O33" s="27" t="s">
        <v>70</v>
      </c>
      <c r="P33" s="21"/>
      <c r="Q33" s="21"/>
      <c r="R33" s="27" t="s">
        <v>70</v>
      </c>
      <c r="S33" s="21"/>
      <c r="T33" s="21"/>
      <c r="U33" s="27" t="s">
        <v>70</v>
      </c>
      <c r="V33" s="21"/>
      <c r="W33" s="21"/>
      <c r="X33" s="27" t="s">
        <v>70</v>
      </c>
      <c r="Y33" s="21"/>
      <c r="Z33" s="21"/>
      <c r="AA33" s="27" t="s">
        <v>70</v>
      </c>
      <c r="AB33" s="22" t="str">
        <f t="shared" si="0"/>
        <v/>
      </c>
    </row>
    <row r="34" spans="1:28" x14ac:dyDescent="0.25">
      <c r="A34" s="8" t="s">
        <v>104</v>
      </c>
      <c r="B34" s="4" t="s">
        <v>105</v>
      </c>
      <c r="C34" s="4" t="s">
        <v>106</v>
      </c>
      <c r="D34" s="21"/>
      <c r="E34" s="21"/>
      <c r="F34" s="27" t="s">
        <v>116</v>
      </c>
      <c r="G34" s="21"/>
      <c r="H34" s="21"/>
      <c r="I34" s="27" t="s">
        <v>70</v>
      </c>
      <c r="J34" s="21"/>
      <c r="K34" s="21"/>
      <c r="L34" s="21"/>
      <c r="M34" s="21"/>
      <c r="N34" s="21"/>
      <c r="O34" s="27" t="s">
        <v>70</v>
      </c>
      <c r="P34" s="21"/>
      <c r="Q34" s="21"/>
      <c r="R34" s="21"/>
      <c r="S34" s="21"/>
      <c r="T34" s="21"/>
      <c r="U34" s="27" t="s">
        <v>70</v>
      </c>
      <c r="V34" s="21"/>
      <c r="W34" s="21"/>
      <c r="X34" s="21"/>
      <c r="Y34" s="21"/>
      <c r="Z34" s="21"/>
      <c r="AA34" s="27" t="s">
        <v>70</v>
      </c>
      <c r="AB34" s="22" t="str">
        <f t="shared" si="0"/>
        <v/>
      </c>
    </row>
    <row r="35" spans="1:28" x14ac:dyDescent="0.25">
      <c r="A35" s="6" t="s">
        <v>107</v>
      </c>
      <c r="B35" s="4" t="s">
        <v>108</v>
      </c>
      <c r="C35" s="4" t="s">
        <v>109</v>
      </c>
      <c r="D35" s="27" t="s">
        <v>116</v>
      </c>
      <c r="E35" s="27" t="s">
        <v>116</v>
      </c>
      <c r="F35" s="27" t="s">
        <v>116</v>
      </c>
      <c r="G35" s="27" t="s">
        <v>116</v>
      </c>
      <c r="H35" s="27" t="s">
        <v>116</v>
      </c>
      <c r="I35" s="27" t="s">
        <v>70</v>
      </c>
      <c r="J35" s="27" t="s">
        <v>70</v>
      </c>
      <c r="K35" s="27" t="s">
        <v>70</v>
      </c>
      <c r="L35" s="27" t="s">
        <v>70</v>
      </c>
      <c r="M35" s="27" t="s">
        <v>70</v>
      </c>
      <c r="N35" s="27" t="s">
        <v>70</v>
      </c>
      <c r="O35" s="27" t="s">
        <v>70</v>
      </c>
      <c r="P35" s="27" t="s">
        <v>70</v>
      </c>
      <c r="Q35" s="27" t="s">
        <v>70</v>
      </c>
      <c r="R35" s="27" t="s">
        <v>70</v>
      </c>
      <c r="S35" s="27" t="s">
        <v>70</v>
      </c>
      <c r="T35" s="27" t="s">
        <v>70</v>
      </c>
      <c r="U35" s="27" t="s">
        <v>70</v>
      </c>
      <c r="V35" s="27" t="s">
        <v>70</v>
      </c>
      <c r="W35" s="27" t="s">
        <v>70</v>
      </c>
      <c r="X35" s="27" t="s">
        <v>70</v>
      </c>
      <c r="Y35" s="27" t="s">
        <v>70</v>
      </c>
      <c r="Z35" s="27" t="s">
        <v>70</v>
      </c>
      <c r="AA35" s="27" t="s">
        <v>70</v>
      </c>
      <c r="AB35" s="22" t="str">
        <f t="shared" si="0"/>
        <v/>
      </c>
    </row>
    <row r="36" spans="1:28" x14ac:dyDescent="0.25">
      <c r="A36" s="6" t="s">
        <v>110</v>
      </c>
      <c r="B36" s="4" t="s">
        <v>111</v>
      </c>
      <c r="C36" s="4" t="s">
        <v>112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7" t="s">
        <v>70</v>
      </c>
      <c r="Z36" s="27" t="s">
        <v>70</v>
      </c>
      <c r="AA36" s="27" t="s">
        <v>70</v>
      </c>
      <c r="AB36" s="22" t="str">
        <f t="shared" si="0"/>
        <v/>
      </c>
    </row>
    <row r="37" spans="1:28" x14ac:dyDescent="0.25">
      <c r="A37" s="6" t="s">
        <v>113</v>
      </c>
      <c r="B37" s="4" t="s">
        <v>111</v>
      </c>
      <c r="C37" s="4" t="s">
        <v>63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7" t="s">
        <v>70</v>
      </c>
      <c r="AB37" s="22" t="str">
        <f t="shared" si="0"/>
        <v/>
      </c>
    </row>
    <row r="38" spans="1:28" x14ac:dyDescent="0.25">
      <c r="A38" s="4"/>
      <c r="B38" s="4"/>
      <c r="C38" s="4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spans="1:28" x14ac:dyDescent="0.25">
      <c r="A39" s="9" t="s">
        <v>114</v>
      </c>
      <c r="B39" s="4"/>
      <c r="C39" s="4"/>
      <c r="D39" s="21" t="str">
        <f ca="1">IF(AND($H$3&lt;&gt;"",EDATE($H$3,0)&lt;=TODAY(),EDATE($H$3,1)&gt;TODAY()),"●","")</f>
        <v/>
      </c>
      <c r="E39" s="21" t="str">
        <f ca="1">IF(AND($H$3&lt;&gt;"",EDATE($H$3,1)&lt;=TODAY(),EDATE($H$3,2)&gt;TODAY()),"●","")</f>
        <v/>
      </c>
      <c r="F39" s="21" t="str">
        <f ca="1">IF(AND($H$3&lt;&gt;"",EDATE($H$3,2)&lt;=TODAY(),EDATE($H$3,3)&gt;TODAY()),"●","")</f>
        <v/>
      </c>
      <c r="G39" s="21" t="str">
        <f ca="1">IF(AND($H$3&lt;&gt;"",EDATE($H$3,3)&lt;=TODAY(),EDATE($H$3,4)&gt;TODAY()),"●","")</f>
        <v/>
      </c>
      <c r="H39" s="21" t="str">
        <f ca="1">IF(AND($H$3&lt;&gt;"",EDATE($H$3,4)&lt;=TODAY(),EDATE($H$3,5)&gt;TODAY()),"●","")</f>
        <v/>
      </c>
      <c r="I39" s="21" t="str">
        <f ca="1">IF(AND($H$3&lt;&gt;"",EDATE($H$3,5)&lt;=TODAY(),EDATE($H$3,6)&gt;TODAY()),"●","")</f>
        <v/>
      </c>
      <c r="J39" s="21" t="str">
        <f ca="1">IF(AND($H$3&lt;&gt;"",EDATE($H$3,6)&lt;=TODAY(),EDATE($H$3,7)&gt;TODAY()),"●","")</f>
        <v>●</v>
      </c>
      <c r="K39" s="21" t="str">
        <f ca="1">IF(AND($H$3&lt;&gt;"",EDATE($H$3,7)&lt;=TODAY(),EDATE($H$3,8)&gt;TODAY()),"●","")</f>
        <v/>
      </c>
      <c r="L39" s="21" t="str">
        <f ca="1">IF(AND($H$3&lt;&gt;"",EDATE($H$3,8)&lt;=TODAY(),EDATE($H$3,9)&gt;TODAY()),"●","")</f>
        <v/>
      </c>
      <c r="M39" s="21" t="str">
        <f ca="1">IF(AND($H$3&lt;&gt;"",EDATE($H$3,9)&lt;=TODAY(),EDATE($H$3,10)&gt;TODAY()),"●","")</f>
        <v/>
      </c>
      <c r="N39" s="21" t="str">
        <f ca="1">IF(AND($H$3&lt;&gt;"",EDATE($H$3,10)&lt;=TODAY(),EDATE($H$3,11)&gt;TODAY()),"●","")</f>
        <v/>
      </c>
      <c r="O39" s="21" t="str">
        <f ca="1">IF(AND($H$3&lt;&gt;"",EDATE($H$3,11)&lt;=TODAY(),EDATE($H$3,12)&gt;TODAY()),"●","")</f>
        <v/>
      </c>
      <c r="P39" s="21" t="str">
        <f ca="1">IF(AND($H$3&lt;&gt;"",EDATE($H$3,12)&lt;=TODAY(),EDATE($H$3,13)&gt;TODAY()),"●","")</f>
        <v/>
      </c>
      <c r="Q39" s="21" t="str">
        <f ca="1">IF(AND($H$3&lt;&gt;"",EDATE($H$3,13)&lt;=TODAY(),EDATE($H$3,14)&gt;TODAY()),"●","")</f>
        <v/>
      </c>
      <c r="R39" s="21" t="str">
        <f ca="1">IF(AND($H$3&lt;&gt;"",EDATE($H$3,14)&lt;=TODAY(),EDATE($H$3,15)&gt;TODAY()),"●","")</f>
        <v/>
      </c>
      <c r="S39" s="21" t="str">
        <f ca="1">IF(AND($H$3&lt;&gt;"",EDATE($H$3,15)&lt;=TODAY(),EDATE($H$3,16)&gt;TODAY()),"●","")</f>
        <v/>
      </c>
      <c r="T39" s="21" t="str">
        <f ca="1">IF(AND($H$3&lt;&gt;"",EDATE($H$3,16)&lt;=TODAY(),EDATE($H$3,17)&gt;TODAY()),"●","")</f>
        <v/>
      </c>
      <c r="U39" s="21" t="str">
        <f ca="1">IF(AND($H$3&lt;&gt;"",EDATE($H$3,17)&lt;=TODAY(),EDATE($H$3,18)&gt;TODAY()),"●","")</f>
        <v/>
      </c>
      <c r="V39" s="21" t="str">
        <f ca="1">IF(AND($H$3&lt;&gt;"",EDATE($H$3,18)&lt;=TODAY(),EDATE($H$3,19)&gt;TODAY()),"●","")</f>
        <v/>
      </c>
      <c r="W39" s="21" t="str">
        <f ca="1">IF(AND($H$3&lt;&gt;"",EDATE($H$3,19)&lt;=TODAY(),EDATE($H$3,20)&gt;TODAY()),"●","")</f>
        <v/>
      </c>
      <c r="X39" s="21" t="str">
        <f ca="1">IF(AND($H$3&lt;&gt;"",EDATE($H$3,20)&lt;=TODAY(),EDATE($H$3,21)&gt;TODAY()),"●","")</f>
        <v/>
      </c>
      <c r="Y39" s="21" t="str">
        <f ca="1">IF(AND($H$3&lt;&gt;"",EDATE($H$3,21)&lt;=TODAY(),EDATE($H$3,22)&gt;TODAY()),"●","")</f>
        <v/>
      </c>
      <c r="Z39" s="21" t="str">
        <f ca="1">IF(AND($H$3&lt;&gt;"",EDATE($H$3,22)&lt;=TODAY(),EDATE($H$3,23)&gt;TODAY()),"●","")</f>
        <v/>
      </c>
      <c r="AA39" s="21" t="str">
        <f ca="1">IF(AND($H$3&lt;&gt;"",EDATE($H$3,23)&lt;=TODAY(),EDATE($H$3,24)&gt;TODAY()),"●","")</f>
        <v/>
      </c>
      <c r="AB39" s="21"/>
    </row>
    <row r="41" spans="1:28" x14ac:dyDescent="0.25">
      <c r="A41" s="32" t="s">
        <v>115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</sheetData>
  <autoFilter ref="A5:AB37" xr:uid="{00000000-0009-0000-0000-000006000000}"/>
  <mergeCells count="2">
    <mergeCell ref="A1:AC1"/>
    <mergeCell ref="A41:AB41"/>
  </mergeCells>
  <phoneticPr fontId="5" type="noConversion"/>
  <dataValidations count="1">
    <dataValidation type="list" allowBlank="1" sqref="D8:AA37" xr:uid="{00000000-0002-0000-0600-000000000000}">
      <formula1>"☐,☑"</formula1>
    </dataValidation>
  </dataValidations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C41"/>
  <sheetViews>
    <sheetView showGridLines="0" zoomScale="55" zoomScaleNormal="55" workbookViewId="0">
      <pane xSplit="3" ySplit="7" topLeftCell="D8" activePane="bottomRight" state="frozen"/>
      <selection pane="topRight"/>
      <selection pane="bottomLeft"/>
      <selection pane="bottomRight" activeCell="L45" sqref="L45"/>
    </sheetView>
  </sheetViews>
  <sheetFormatPr defaultRowHeight="15.75" x14ac:dyDescent="0.25"/>
  <cols>
    <col min="1" max="1" width="34" style="16" customWidth="1"/>
    <col min="2" max="2" width="16" style="16" customWidth="1"/>
    <col min="3" max="3" width="22" style="16" customWidth="1"/>
    <col min="4" max="27" width="14" style="16" customWidth="1"/>
    <col min="28" max="28" width="12" style="16" customWidth="1"/>
  </cols>
  <sheetData>
    <row r="1" spans="1:29" ht="30" customHeight="1" x14ac:dyDescent="0.4">
      <c r="A1" s="31" t="s">
        <v>33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3" spans="1:29" ht="24" customHeight="1" x14ac:dyDescent="0.25">
      <c r="A3" s="14" t="s">
        <v>1</v>
      </c>
      <c r="B3" s="15" t="s">
        <v>24</v>
      </c>
      <c r="D3" s="14" t="s">
        <v>34</v>
      </c>
      <c r="E3" s="15" t="s">
        <v>25</v>
      </c>
      <c r="G3" s="14" t="s">
        <v>3</v>
      </c>
      <c r="H3" s="24">
        <v>46181</v>
      </c>
      <c r="J3" s="14" t="s">
        <v>35</v>
      </c>
      <c r="K3" s="25">
        <f>IF(H3="","",EDATE(H3,24)-1)</f>
        <v>46911</v>
      </c>
      <c r="M3" s="14" t="s">
        <v>36</v>
      </c>
      <c r="N3" s="13">
        <f ca="1">IF(H3="","",MAX(1,DATEDIF(H3,TODAY(),"m")+1))</f>
        <v>4</v>
      </c>
    </row>
    <row r="5" spans="1:29" x14ac:dyDescent="0.25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49</v>
      </c>
      <c r="N5" s="2" t="s">
        <v>50</v>
      </c>
      <c r="O5" s="2" t="s">
        <v>51</v>
      </c>
      <c r="P5" s="2" t="s">
        <v>52</v>
      </c>
      <c r="Q5" s="2" t="s">
        <v>53</v>
      </c>
      <c r="R5" s="2" t="s">
        <v>54</v>
      </c>
      <c r="S5" s="2" t="s">
        <v>55</v>
      </c>
      <c r="T5" s="2" t="s">
        <v>56</v>
      </c>
      <c r="U5" s="2" t="s">
        <v>57</v>
      </c>
      <c r="V5" s="2" t="s">
        <v>58</v>
      </c>
      <c r="W5" s="2" t="s">
        <v>59</v>
      </c>
      <c r="X5" s="2" t="s">
        <v>60</v>
      </c>
      <c r="Y5" s="2" t="s">
        <v>61</v>
      </c>
      <c r="Z5" s="2" t="s">
        <v>62</v>
      </c>
      <c r="AA5" s="2" t="s">
        <v>63</v>
      </c>
      <c r="AB5" s="2" t="s">
        <v>64</v>
      </c>
    </row>
    <row r="6" spans="1:29" x14ac:dyDescent="0.25">
      <c r="A6" s="3" t="s">
        <v>65</v>
      </c>
      <c r="B6" s="4"/>
      <c r="C6" s="4" t="s">
        <v>66</v>
      </c>
      <c r="D6" s="28">
        <f>IF($H$3="","",EDATE($H$3,0))</f>
        <v>46181</v>
      </c>
      <c r="E6" s="28">
        <f>IF($H$3="","",EDATE($H$3,1))</f>
        <v>46211</v>
      </c>
      <c r="F6" s="28">
        <f>IF($H$3="","",EDATE($H$3,2))</f>
        <v>46242</v>
      </c>
      <c r="G6" s="28">
        <f>IF($H$3="","",EDATE($H$3,3))</f>
        <v>46273</v>
      </c>
      <c r="H6" s="28">
        <f>IF($H$3="","",EDATE($H$3,4))</f>
        <v>46303</v>
      </c>
      <c r="I6" s="28">
        <f>IF($H$3="","",EDATE($H$3,5))</f>
        <v>46334</v>
      </c>
      <c r="J6" s="28">
        <f>IF($H$3="","",EDATE($H$3,6))</f>
        <v>46364</v>
      </c>
      <c r="K6" s="28">
        <f>IF($H$3="","",EDATE($H$3,7))</f>
        <v>46395</v>
      </c>
      <c r="L6" s="28">
        <f>IF($H$3="","",EDATE($H$3,8))</f>
        <v>46426</v>
      </c>
      <c r="M6" s="28">
        <f>IF($H$3="","",EDATE($H$3,9))</f>
        <v>46454</v>
      </c>
      <c r="N6" s="28">
        <f>IF($H$3="","",EDATE($H$3,10))</f>
        <v>46485</v>
      </c>
      <c r="O6" s="28">
        <f>IF($H$3="","",EDATE($H$3,11))</f>
        <v>46515</v>
      </c>
      <c r="P6" s="28">
        <f>IF($H$3="","",EDATE($H$3,12))</f>
        <v>46546</v>
      </c>
      <c r="Q6" s="28">
        <f>IF($H$3="","",EDATE($H$3,13))</f>
        <v>46576</v>
      </c>
      <c r="R6" s="28">
        <f>IF($H$3="","",EDATE($H$3,14))</f>
        <v>46607</v>
      </c>
      <c r="S6" s="28">
        <f>IF($H$3="","",EDATE($H$3,15))</f>
        <v>46638</v>
      </c>
      <c r="T6" s="28">
        <f>IF($H$3="","",EDATE($H$3,16))</f>
        <v>46668</v>
      </c>
      <c r="U6" s="28">
        <f>IF($H$3="","",EDATE($H$3,17))</f>
        <v>46699</v>
      </c>
      <c r="V6" s="28">
        <f>IF($H$3="","",EDATE($H$3,18))</f>
        <v>46729</v>
      </c>
      <c r="W6" s="28">
        <f>IF($H$3="","",EDATE($H$3,19))</f>
        <v>46760</v>
      </c>
      <c r="X6" s="28">
        <f>IF($H$3="","",EDATE($H$3,20))</f>
        <v>46791</v>
      </c>
      <c r="Y6" s="28">
        <f>IF($H$3="","",EDATE($H$3,21))</f>
        <v>46820</v>
      </c>
      <c r="Z6" s="28">
        <f>IF($H$3="","",EDATE($H$3,22))</f>
        <v>46851</v>
      </c>
      <c r="AA6" s="28">
        <f>IF($H$3="","",EDATE($H$3,23))</f>
        <v>46881</v>
      </c>
      <c r="AB6" s="4"/>
    </row>
    <row r="7" spans="1:29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9" x14ac:dyDescent="0.25">
      <c r="A8" s="5" t="s">
        <v>67</v>
      </c>
      <c r="B8" s="4" t="s">
        <v>68</v>
      </c>
      <c r="C8" s="4" t="s">
        <v>69</v>
      </c>
      <c r="D8" s="27" t="s">
        <v>116</v>
      </c>
      <c r="E8" s="27" t="s">
        <v>116</v>
      </c>
      <c r="F8" s="27" t="s">
        <v>116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2" t="str">
        <f t="shared" ref="AB8:AB37" si="0">IF(COUNTIF(D8:AA8,"○")+COUNTIF(D8:AA8,"✓")=0,"",COUNTIF(D8:AA8,"✓")/(COUNTIF(D8:AA8,"○")+COUNTIF(D8:AA8,"✓")))</f>
        <v/>
      </c>
    </row>
    <row r="9" spans="1:29" x14ac:dyDescent="0.25">
      <c r="A9" s="5" t="s">
        <v>71</v>
      </c>
      <c r="B9" s="4" t="s">
        <v>68</v>
      </c>
      <c r="C9" s="4" t="s">
        <v>69</v>
      </c>
      <c r="D9" s="27" t="s">
        <v>116</v>
      </c>
      <c r="E9" s="27" t="s">
        <v>116</v>
      </c>
      <c r="F9" s="27" t="s">
        <v>116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2" t="str">
        <f t="shared" si="0"/>
        <v/>
      </c>
    </row>
    <row r="10" spans="1:29" x14ac:dyDescent="0.25">
      <c r="A10" s="5" t="s">
        <v>72</v>
      </c>
      <c r="B10" s="4" t="s">
        <v>68</v>
      </c>
      <c r="C10" s="4" t="s">
        <v>69</v>
      </c>
      <c r="D10" s="27" t="s">
        <v>116</v>
      </c>
      <c r="E10" s="27" t="s">
        <v>116</v>
      </c>
      <c r="F10" s="27" t="s">
        <v>116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2" t="str">
        <f t="shared" si="0"/>
        <v/>
      </c>
    </row>
    <row r="11" spans="1:29" x14ac:dyDescent="0.25">
      <c r="A11" s="5" t="s">
        <v>73</v>
      </c>
      <c r="B11" s="4" t="s">
        <v>68</v>
      </c>
      <c r="C11" s="4" t="s">
        <v>69</v>
      </c>
      <c r="D11" s="27" t="s">
        <v>116</v>
      </c>
      <c r="E11" s="27" t="s">
        <v>116</v>
      </c>
      <c r="F11" s="27" t="s">
        <v>116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2" t="str">
        <f t="shared" si="0"/>
        <v/>
      </c>
    </row>
    <row r="12" spans="1:29" x14ac:dyDescent="0.25">
      <c r="A12" s="5" t="s">
        <v>74</v>
      </c>
      <c r="B12" s="4" t="s">
        <v>68</v>
      </c>
      <c r="C12" s="4" t="s">
        <v>69</v>
      </c>
      <c r="D12" s="27" t="s">
        <v>116</v>
      </c>
      <c r="E12" s="27" t="s">
        <v>116</v>
      </c>
      <c r="F12" s="27" t="s">
        <v>116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2" t="str">
        <f t="shared" si="0"/>
        <v/>
      </c>
    </row>
    <row r="13" spans="1:29" x14ac:dyDescent="0.25">
      <c r="A13" s="6" t="s">
        <v>75</v>
      </c>
      <c r="B13" s="4" t="s">
        <v>76</v>
      </c>
      <c r="C13" s="4" t="s">
        <v>69</v>
      </c>
      <c r="D13" s="27" t="s">
        <v>116</v>
      </c>
      <c r="E13" s="27" t="s">
        <v>116</v>
      </c>
      <c r="F13" s="27" t="s">
        <v>116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2" t="str">
        <f t="shared" si="0"/>
        <v/>
      </c>
    </row>
    <row r="14" spans="1:29" x14ac:dyDescent="0.25">
      <c r="A14" s="7" t="s">
        <v>77</v>
      </c>
      <c r="B14" s="4" t="s">
        <v>78</v>
      </c>
      <c r="C14" s="4" t="s">
        <v>79</v>
      </c>
      <c r="D14" s="21"/>
      <c r="E14" s="21"/>
      <c r="F14" s="21"/>
      <c r="G14" s="27" t="s">
        <v>70</v>
      </c>
      <c r="H14" s="27" t="s">
        <v>70</v>
      </c>
      <c r="I14" s="27" t="s">
        <v>70</v>
      </c>
      <c r="J14" s="27" t="s">
        <v>70</v>
      </c>
      <c r="K14" s="27" t="s">
        <v>70</v>
      </c>
      <c r="L14" s="27" t="s">
        <v>70</v>
      </c>
      <c r="M14" s="27" t="s">
        <v>70</v>
      </c>
      <c r="N14" s="27" t="s">
        <v>70</v>
      </c>
      <c r="O14" s="27" t="s">
        <v>70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2" t="str">
        <f t="shared" si="0"/>
        <v/>
      </c>
    </row>
    <row r="15" spans="1:29" x14ac:dyDescent="0.25">
      <c r="A15" s="7" t="s">
        <v>80</v>
      </c>
      <c r="B15" s="4" t="s">
        <v>78</v>
      </c>
      <c r="C15" s="4" t="s">
        <v>79</v>
      </c>
      <c r="D15" s="21"/>
      <c r="E15" s="21"/>
      <c r="F15" s="21"/>
      <c r="G15" s="27" t="s">
        <v>70</v>
      </c>
      <c r="H15" s="27" t="s">
        <v>70</v>
      </c>
      <c r="I15" s="27" t="s">
        <v>70</v>
      </c>
      <c r="J15" s="27" t="s">
        <v>70</v>
      </c>
      <c r="K15" s="27" t="s">
        <v>70</v>
      </c>
      <c r="L15" s="27" t="s">
        <v>70</v>
      </c>
      <c r="M15" s="27" t="s">
        <v>70</v>
      </c>
      <c r="N15" s="27" t="s">
        <v>70</v>
      </c>
      <c r="O15" s="27" t="s">
        <v>70</v>
      </c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2" t="str">
        <f t="shared" si="0"/>
        <v/>
      </c>
    </row>
    <row r="16" spans="1:29" x14ac:dyDescent="0.25">
      <c r="A16" s="7" t="s">
        <v>81</v>
      </c>
      <c r="B16" s="4" t="s">
        <v>78</v>
      </c>
      <c r="C16" s="4" t="s">
        <v>79</v>
      </c>
      <c r="D16" s="21"/>
      <c r="E16" s="21"/>
      <c r="F16" s="21"/>
      <c r="G16" s="27" t="s">
        <v>70</v>
      </c>
      <c r="H16" s="27" t="s">
        <v>70</v>
      </c>
      <c r="I16" s="27" t="s">
        <v>70</v>
      </c>
      <c r="J16" s="27" t="s">
        <v>70</v>
      </c>
      <c r="K16" s="27" t="s">
        <v>70</v>
      </c>
      <c r="L16" s="27" t="s">
        <v>70</v>
      </c>
      <c r="M16" s="27" t="s">
        <v>70</v>
      </c>
      <c r="N16" s="27" t="s">
        <v>70</v>
      </c>
      <c r="O16" s="27" t="s">
        <v>70</v>
      </c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2" t="str">
        <f t="shared" si="0"/>
        <v/>
      </c>
    </row>
    <row r="17" spans="1:28" ht="31.5" customHeight="1" x14ac:dyDescent="0.25">
      <c r="A17" s="7" t="s">
        <v>82</v>
      </c>
      <c r="B17" s="4" t="s">
        <v>78</v>
      </c>
      <c r="C17" s="4" t="s">
        <v>79</v>
      </c>
      <c r="D17" s="21"/>
      <c r="E17" s="21"/>
      <c r="F17" s="21"/>
      <c r="G17" s="27" t="s">
        <v>70</v>
      </c>
      <c r="H17" s="27" t="s">
        <v>70</v>
      </c>
      <c r="I17" s="27" t="s">
        <v>70</v>
      </c>
      <c r="J17" s="27" t="s">
        <v>70</v>
      </c>
      <c r="K17" s="27" t="s">
        <v>70</v>
      </c>
      <c r="L17" s="27" t="s">
        <v>70</v>
      </c>
      <c r="M17" s="27" t="s">
        <v>70</v>
      </c>
      <c r="N17" s="27" t="s">
        <v>70</v>
      </c>
      <c r="O17" s="27" t="s">
        <v>70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2" t="str">
        <f t="shared" si="0"/>
        <v/>
      </c>
    </row>
    <row r="18" spans="1:28" x14ac:dyDescent="0.25">
      <c r="A18" s="7" t="s">
        <v>83</v>
      </c>
      <c r="B18" s="4" t="s">
        <v>78</v>
      </c>
      <c r="C18" s="4" t="s">
        <v>79</v>
      </c>
      <c r="D18" s="21"/>
      <c r="E18" s="21"/>
      <c r="F18" s="21"/>
      <c r="G18" s="27" t="s">
        <v>70</v>
      </c>
      <c r="H18" s="27" t="s">
        <v>70</v>
      </c>
      <c r="I18" s="27" t="s">
        <v>70</v>
      </c>
      <c r="J18" s="27" t="s">
        <v>70</v>
      </c>
      <c r="K18" s="27" t="s">
        <v>70</v>
      </c>
      <c r="L18" s="27" t="s">
        <v>70</v>
      </c>
      <c r="M18" s="27" t="s">
        <v>70</v>
      </c>
      <c r="N18" s="27" t="s">
        <v>70</v>
      </c>
      <c r="O18" s="27" t="s">
        <v>70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2" t="str">
        <f t="shared" si="0"/>
        <v/>
      </c>
    </row>
    <row r="19" spans="1:28" x14ac:dyDescent="0.25">
      <c r="A19" s="6" t="s">
        <v>84</v>
      </c>
      <c r="B19" s="4" t="s">
        <v>76</v>
      </c>
      <c r="C19" s="4" t="s">
        <v>79</v>
      </c>
      <c r="D19" s="21"/>
      <c r="E19" s="21"/>
      <c r="F19" s="21"/>
      <c r="G19" s="27" t="s">
        <v>70</v>
      </c>
      <c r="H19" s="27" t="s">
        <v>70</v>
      </c>
      <c r="I19" s="27" t="s">
        <v>70</v>
      </c>
      <c r="J19" s="27" t="s">
        <v>70</v>
      </c>
      <c r="K19" s="27" t="s">
        <v>70</v>
      </c>
      <c r="L19" s="27" t="s">
        <v>70</v>
      </c>
      <c r="M19" s="27" t="s">
        <v>70</v>
      </c>
      <c r="N19" s="27" t="s">
        <v>70</v>
      </c>
      <c r="O19" s="27" t="s">
        <v>70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2" t="str">
        <f t="shared" si="0"/>
        <v/>
      </c>
    </row>
    <row r="20" spans="1:28" x14ac:dyDescent="0.25">
      <c r="A20" s="7" t="s">
        <v>85</v>
      </c>
      <c r="B20" s="4" t="s">
        <v>78</v>
      </c>
      <c r="C20" s="4" t="s">
        <v>86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7" t="s">
        <v>70</v>
      </c>
      <c r="Q20" s="27" t="s">
        <v>70</v>
      </c>
      <c r="R20" s="27" t="s">
        <v>70</v>
      </c>
      <c r="S20" s="27" t="s">
        <v>70</v>
      </c>
      <c r="T20" s="27" t="s">
        <v>70</v>
      </c>
      <c r="U20" s="27" t="s">
        <v>70</v>
      </c>
      <c r="V20" s="27" t="s">
        <v>70</v>
      </c>
      <c r="W20" s="27" t="s">
        <v>70</v>
      </c>
      <c r="X20" s="27" t="s">
        <v>70</v>
      </c>
      <c r="Y20" s="27" t="s">
        <v>70</v>
      </c>
      <c r="Z20" s="27" t="s">
        <v>70</v>
      </c>
      <c r="AA20" s="27" t="s">
        <v>70</v>
      </c>
      <c r="AB20" s="22" t="str">
        <f t="shared" si="0"/>
        <v/>
      </c>
    </row>
    <row r="21" spans="1:28" x14ac:dyDescent="0.25">
      <c r="A21" s="7" t="s">
        <v>87</v>
      </c>
      <c r="B21" s="4" t="s">
        <v>78</v>
      </c>
      <c r="C21" s="4" t="s">
        <v>86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7" t="s">
        <v>70</v>
      </c>
      <c r="Q21" s="27" t="s">
        <v>70</v>
      </c>
      <c r="R21" s="27" t="s">
        <v>70</v>
      </c>
      <c r="S21" s="27" t="s">
        <v>70</v>
      </c>
      <c r="T21" s="27" t="s">
        <v>70</v>
      </c>
      <c r="U21" s="27" t="s">
        <v>70</v>
      </c>
      <c r="V21" s="27" t="s">
        <v>70</v>
      </c>
      <c r="W21" s="27" t="s">
        <v>70</v>
      </c>
      <c r="X21" s="27" t="s">
        <v>70</v>
      </c>
      <c r="Y21" s="27" t="s">
        <v>70</v>
      </c>
      <c r="Z21" s="27" t="s">
        <v>70</v>
      </c>
      <c r="AA21" s="27" t="s">
        <v>70</v>
      </c>
      <c r="AB21" s="22" t="str">
        <f t="shared" si="0"/>
        <v/>
      </c>
    </row>
    <row r="22" spans="1:28" x14ac:dyDescent="0.25">
      <c r="A22" s="7" t="s">
        <v>88</v>
      </c>
      <c r="B22" s="4" t="s">
        <v>78</v>
      </c>
      <c r="C22" s="4" t="s">
        <v>86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7" t="s">
        <v>70</v>
      </c>
      <c r="Q22" s="27" t="s">
        <v>70</v>
      </c>
      <c r="R22" s="27" t="s">
        <v>70</v>
      </c>
      <c r="S22" s="27" t="s">
        <v>70</v>
      </c>
      <c r="T22" s="27" t="s">
        <v>70</v>
      </c>
      <c r="U22" s="27" t="s">
        <v>70</v>
      </c>
      <c r="V22" s="27" t="s">
        <v>70</v>
      </c>
      <c r="W22" s="27" t="s">
        <v>70</v>
      </c>
      <c r="X22" s="27" t="s">
        <v>70</v>
      </c>
      <c r="Y22" s="27" t="s">
        <v>70</v>
      </c>
      <c r="Z22" s="27" t="s">
        <v>70</v>
      </c>
      <c r="AA22" s="27" t="s">
        <v>70</v>
      </c>
      <c r="AB22" s="22" t="str">
        <f t="shared" si="0"/>
        <v/>
      </c>
    </row>
    <row r="23" spans="1:28" x14ac:dyDescent="0.25">
      <c r="A23" s="7" t="s">
        <v>89</v>
      </c>
      <c r="B23" s="4" t="s">
        <v>78</v>
      </c>
      <c r="C23" s="4" t="s">
        <v>86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7" t="s">
        <v>70</v>
      </c>
      <c r="Q23" s="27" t="s">
        <v>70</v>
      </c>
      <c r="R23" s="27" t="s">
        <v>70</v>
      </c>
      <c r="S23" s="27" t="s">
        <v>70</v>
      </c>
      <c r="T23" s="27" t="s">
        <v>70</v>
      </c>
      <c r="U23" s="27" t="s">
        <v>70</v>
      </c>
      <c r="V23" s="27" t="s">
        <v>70</v>
      </c>
      <c r="W23" s="27" t="s">
        <v>70</v>
      </c>
      <c r="X23" s="27" t="s">
        <v>70</v>
      </c>
      <c r="Y23" s="27" t="s">
        <v>70</v>
      </c>
      <c r="Z23" s="27" t="s">
        <v>70</v>
      </c>
      <c r="AA23" s="27" t="s">
        <v>70</v>
      </c>
      <c r="AB23" s="22" t="str">
        <f t="shared" si="0"/>
        <v/>
      </c>
    </row>
    <row r="24" spans="1:28" x14ac:dyDescent="0.25">
      <c r="A24" s="7" t="s">
        <v>90</v>
      </c>
      <c r="B24" s="4" t="s">
        <v>78</v>
      </c>
      <c r="C24" s="4" t="s">
        <v>86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7" t="s">
        <v>70</v>
      </c>
      <c r="Q24" s="27" t="s">
        <v>70</v>
      </c>
      <c r="R24" s="27" t="s">
        <v>70</v>
      </c>
      <c r="S24" s="27" t="s">
        <v>70</v>
      </c>
      <c r="T24" s="27" t="s">
        <v>70</v>
      </c>
      <c r="U24" s="27" t="s">
        <v>70</v>
      </c>
      <c r="V24" s="27" t="s">
        <v>70</v>
      </c>
      <c r="W24" s="27" t="s">
        <v>70</v>
      </c>
      <c r="X24" s="27" t="s">
        <v>70</v>
      </c>
      <c r="Y24" s="27" t="s">
        <v>70</v>
      </c>
      <c r="Z24" s="27" t="s">
        <v>70</v>
      </c>
      <c r="AA24" s="27" t="s">
        <v>70</v>
      </c>
      <c r="AB24" s="22" t="str">
        <f t="shared" si="0"/>
        <v/>
      </c>
    </row>
    <row r="25" spans="1:28" x14ac:dyDescent="0.25">
      <c r="A25" s="7" t="s">
        <v>91</v>
      </c>
      <c r="B25" s="4" t="s">
        <v>78</v>
      </c>
      <c r="C25" s="4" t="s">
        <v>86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7" t="s">
        <v>70</v>
      </c>
      <c r="Q25" s="27" t="s">
        <v>70</v>
      </c>
      <c r="R25" s="27" t="s">
        <v>70</v>
      </c>
      <c r="S25" s="27" t="s">
        <v>70</v>
      </c>
      <c r="T25" s="27" t="s">
        <v>70</v>
      </c>
      <c r="U25" s="27" t="s">
        <v>70</v>
      </c>
      <c r="V25" s="27" t="s">
        <v>70</v>
      </c>
      <c r="W25" s="27" t="s">
        <v>70</v>
      </c>
      <c r="X25" s="27" t="s">
        <v>70</v>
      </c>
      <c r="Y25" s="27" t="s">
        <v>70</v>
      </c>
      <c r="Z25" s="27" t="s">
        <v>70</v>
      </c>
      <c r="AA25" s="27" t="s">
        <v>70</v>
      </c>
      <c r="AB25" s="22" t="str">
        <f t="shared" si="0"/>
        <v/>
      </c>
    </row>
    <row r="26" spans="1:28" x14ac:dyDescent="0.25">
      <c r="A26" s="7" t="s">
        <v>92</v>
      </c>
      <c r="B26" s="4" t="s">
        <v>78</v>
      </c>
      <c r="C26" s="4" t="s">
        <v>86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7" t="s">
        <v>70</v>
      </c>
      <c r="Q26" s="27" t="s">
        <v>70</v>
      </c>
      <c r="R26" s="27" t="s">
        <v>70</v>
      </c>
      <c r="S26" s="27" t="s">
        <v>70</v>
      </c>
      <c r="T26" s="27" t="s">
        <v>70</v>
      </c>
      <c r="U26" s="27" t="s">
        <v>70</v>
      </c>
      <c r="V26" s="27" t="s">
        <v>70</v>
      </c>
      <c r="W26" s="27" t="s">
        <v>70</v>
      </c>
      <c r="X26" s="27" t="s">
        <v>70</v>
      </c>
      <c r="Y26" s="27" t="s">
        <v>70</v>
      </c>
      <c r="Z26" s="27" t="s">
        <v>70</v>
      </c>
      <c r="AA26" s="27" t="s">
        <v>70</v>
      </c>
      <c r="AB26" s="22" t="str">
        <f t="shared" si="0"/>
        <v/>
      </c>
    </row>
    <row r="27" spans="1:28" x14ac:dyDescent="0.25">
      <c r="A27" s="7" t="s">
        <v>93</v>
      </c>
      <c r="B27" s="4" t="s">
        <v>78</v>
      </c>
      <c r="C27" s="4" t="s">
        <v>86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7" t="s">
        <v>70</v>
      </c>
      <c r="Q27" s="27" t="s">
        <v>70</v>
      </c>
      <c r="R27" s="27" t="s">
        <v>70</v>
      </c>
      <c r="S27" s="27" t="s">
        <v>70</v>
      </c>
      <c r="T27" s="27" t="s">
        <v>70</v>
      </c>
      <c r="U27" s="27" t="s">
        <v>70</v>
      </c>
      <c r="V27" s="27" t="s">
        <v>70</v>
      </c>
      <c r="W27" s="27" t="s">
        <v>70</v>
      </c>
      <c r="X27" s="27" t="s">
        <v>70</v>
      </c>
      <c r="Y27" s="27" t="s">
        <v>70</v>
      </c>
      <c r="Z27" s="27" t="s">
        <v>70</v>
      </c>
      <c r="AA27" s="27" t="s">
        <v>70</v>
      </c>
      <c r="AB27" s="22" t="str">
        <f t="shared" si="0"/>
        <v/>
      </c>
    </row>
    <row r="28" spans="1:28" x14ac:dyDescent="0.25">
      <c r="A28" s="7" t="s">
        <v>94</v>
      </c>
      <c r="B28" s="4" t="s">
        <v>78</v>
      </c>
      <c r="C28" s="4" t="s">
        <v>86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7" t="s">
        <v>70</v>
      </c>
      <c r="Q28" s="27" t="s">
        <v>70</v>
      </c>
      <c r="R28" s="27" t="s">
        <v>70</v>
      </c>
      <c r="S28" s="27" t="s">
        <v>70</v>
      </c>
      <c r="T28" s="27" t="s">
        <v>70</v>
      </c>
      <c r="U28" s="27" t="s">
        <v>70</v>
      </c>
      <c r="V28" s="27" t="s">
        <v>70</v>
      </c>
      <c r="W28" s="27" t="s">
        <v>70</v>
      </c>
      <c r="X28" s="27" t="s">
        <v>70</v>
      </c>
      <c r="Y28" s="27" t="s">
        <v>70</v>
      </c>
      <c r="Z28" s="27" t="s">
        <v>70</v>
      </c>
      <c r="AA28" s="27" t="s">
        <v>70</v>
      </c>
      <c r="AB28" s="22" t="str">
        <f t="shared" si="0"/>
        <v/>
      </c>
    </row>
    <row r="29" spans="1:28" x14ac:dyDescent="0.25">
      <c r="A29" s="6" t="s">
        <v>95</v>
      </c>
      <c r="B29" s="4" t="s">
        <v>76</v>
      </c>
      <c r="C29" s="4" t="s">
        <v>86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7" t="s">
        <v>70</v>
      </c>
      <c r="Q29" s="27" t="s">
        <v>70</v>
      </c>
      <c r="R29" s="27" t="s">
        <v>70</v>
      </c>
      <c r="S29" s="27" t="s">
        <v>70</v>
      </c>
      <c r="T29" s="27" t="s">
        <v>70</v>
      </c>
      <c r="U29" s="27" t="s">
        <v>70</v>
      </c>
      <c r="V29" s="27" t="s">
        <v>70</v>
      </c>
      <c r="W29" s="27" t="s">
        <v>70</v>
      </c>
      <c r="X29" s="27" t="s">
        <v>70</v>
      </c>
      <c r="Y29" s="27" t="s">
        <v>70</v>
      </c>
      <c r="Z29" s="27" t="s">
        <v>70</v>
      </c>
      <c r="AA29" s="27" t="s">
        <v>70</v>
      </c>
      <c r="AB29" s="22" t="str">
        <f t="shared" si="0"/>
        <v/>
      </c>
    </row>
    <row r="30" spans="1:28" x14ac:dyDescent="0.25">
      <c r="A30" s="8" t="s">
        <v>96</v>
      </c>
      <c r="B30" s="4" t="s">
        <v>97</v>
      </c>
      <c r="C30" s="4" t="s">
        <v>98</v>
      </c>
      <c r="D30" s="21"/>
      <c r="E30" s="21"/>
      <c r="F30" s="27" t="s">
        <v>116</v>
      </c>
      <c r="G30" s="21"/>
      <c r="H30" s="21"/>
      <c r="I30" s="27" t="s">
        <v>70</v>
      </c>
      <c r="J30" s="21"/>
      <c r="K30" s="21"/>
      <c r="L30" s="27" t="s">
        <v>70</v>
      </c>
      <c r="M30" s="21"/>
      <c r="N30" s="21"/>
      <c r="O30" s="27" t="s">
        <v>70</v>
      </c>
      <c r="P30" s="21"/>
      <c r="Q30" s="21"/>
      <c r="R30" s="27" t="s">
        <v>70</v>
      </c>
      <c r="S30" s="21"/>
      <c r="T30" s="21"/>
      <c r="U30" s="27" t="s">
        <v>70</v>
      </c>
      <c r="V30" s="21"/>
      <c r="W30" s="21"/>
      <c r="X30" s="27" t="s">
        <v>70</v>
      </c>
      <c r="Y30" s="21"/>
      <c r="Z30" s="21"/>
      <c r="AA30" s="27" t="s">
        <v>70</v>
      </c>
      <c r="AB30" s="22" t="str">
        <f t="shared" si="0"/>
        <v/>
      </c>
    </row>
    <row r="31" spans="1:28" x14ac:dyDescent="0.25">
      <c r="A31" s="8" t="s">
        <v>99</v>
      </c>
      <c r="B31" s="4" t="s">
        <v>100</v>
      </c>
      <c r="C31" s="4" t="s">
        <v>101</v>
      </c>
      <c r="D31" s="21"/>
      <c r="E31" s="21"/>
      <c r="F31" s="27" t="s">
        <v>70</v>
      </c>
      <c r="G31" s="21"/>
      <c r="H31" s="21"/>
      <c r="I31" s="27" t="s">
        <v>70</v>
      </c>
      <c r="J31" s="21"/>
      <c r="K31" s="21"/>
      <c r="L31" s="27" t="s">
        <v>70</v>
      </c>
      <c r="M31" s="21"/>
      <c r="N31" s="21"/>
      <c r="O31" s="27" t="s">
        <v>70</v>
      </c>
      <c r="P31" s="21"/>
      <c r="Q31" s="21"/>
      <c r="R31" s="27" t="s">
        <v>70</v>
      </c>
      <c r="S31" s="21"/>
      <c r="T31" s="21"/>
      <c r="U31" s="27" t="s">
        <v>70</v>
      </c>
      <c r="V31" s="21"/>
      <c r="W31" s="21"/>
      <c r="X31" s="27" t="s">
        <v>70</v>
      </c>
      <c r="Y31" s="21"/>
      <c r="Z31" s="21"/>
      <c r="AA31" s="27" t="s">
        <v>70</v>
      </c>
      <c r="AB31" s="22" t="str">
        <f t="shared" si="0"/>
        <v/>
      </c>
    </row>
    <row r="32" spans="1:28" x14ac:dyDescent="0.25">
      <c r="A32" s="8" t="s">
        <v>102</v>
      </c>
      <c r="B32" s="4" t="s">
        <v>100</v>
      </c>
      <c r="C32" s="4" t="s">
        <v>101</v>
      </c>
      <c r="D32" s="21"/>
      <c r="E32" s="21"/>
      <c r="F32" s="27" t="s">
        <v>70</v>
      </c>
      <c r="G32" s="21"/>
      <c r="H32" s="21"/>
      <c r="I32" s="27" t="s">
        <v>70</v>
      </c>
      <c r="J32" s="21"/>
      <c r="K32" s="21"/>
      <c r="L32" s="27" t="s">
        <v>70</v>
      </c>
      <c r="M32" s="21"/>
      <c r="N32" s="21"/>
      <c r="O32" s="27" t="s">
        <v>70</v>
      </c>
      <c r="P32" s="21"/>
      <c r="Q32" s="21"/>
      <c r="R32" s="27" t="s">
        <v>70</v>
      </c>
      <c r="S32" s="21"/>
      <c r="T32" s="21"/>
      <c r="U32" s="27" t="s">
        <v>70</v>
      </c>
      <c r="V32" s="21"/>
      <c r="W32" s="21"/>
      <c r="X32" s="27" t="s">
        <v>70</v>
      </c>
      <c r="Y32" s="21"/>
      <c r="Z32" s="21"/>
      <c r="AA32" s="27" t="s">
        <v>70</v>
      </c>
      <c r="AB32" s="22" t="str">
        <f t="shared" si="0"/>
        <v/>
      </c>
    </row>
    <row r="33" spans="1:28" x14ac:dyDescent="0.25">
      <c r="A33" s="8" t="s">
        <v>103</v>
      </c>
      <c r="B33" s="4" t="s">
        <v>100</v>
      </c>
      <c r="C33" s="4" t="s">
        <v>101</v>
      </c>
      <c r="D33" s="21"/>
      <c r="E33" s="21"/>
      <c r="F33" s="27" t="s">
        <v>70</v>
      </c>
      <c r="G33" s="21"/>
      <c r="H33" s="21"/>
      <c r="I33" s="27" t="s">
        <v>70</v>
      </c>
      <c r="J33" s="21"/>
      <c r="K33" s="21"/>
      <c r="L33" s="27" t="s">
        <v>70</v>
      </c>
      <c r="M33" s="21"/>
      <c r="N33" s="21"/>
      <c r="O33" s="27" t="s">
        <v>70</v>
      </c>
      <c r="P33" s="21"/>
      <c r="Q33" s="21"/>
      <c r="R33" s="27" t="s">
        <v>70</v>
      </c>
      <c r="S33" s="21"/>
      <c r="T33" s="21"/>
      <c r="U33" s="27" t="s">
        <v>70</v>
      </c>
      <c r="V33" s="21"/>
      <c r="W33" s="21"/>
      <c r="X33" s="27" t="s">
        <v>70</v>
      </c>
      <c r="Y33" s="21"/>
      <c r="Z33" s="21"/>
      <c r="AA33" s="27" t="s">
        <v>70</v>
      </c>
      <c r="AB33" s="22" t="str">
        <f t="shared" si="0"/>
        <v/>
      </c>
    </row>
    <row r="34" spans="1:28" x14ac:dyDescent="0.25">
      <c r="A34" s="8" t="s">
        <v>104</v>
      </c>
      <c r="B34" s="4" t="s">
        <v>105</v>
      </c>
      <c r="C34" s="4" t="s">
        <v>106</v>
      </c>
      <c r="D34" s="21"/>
      <c r="E34" s="21"/>
      <c r="F34" s="27" t="s">
        <v>70</v>
      </c>
      <c r="G34" s="21"/>
      <c r="H34" s="21"/>
      <c r="I34" s="27" t="s">
        <v>70</v>
      </c>
      <c r="J34" s="21"/>
      <c r="K34" s="21"/>
      <c r="L34" s="21"/>
      <c r="M34" s="21"/>
      <c r="N34" s="21"/>
      <c r="O34" s="27" t="s">
        <v>70</v>
      </c>
      <c r="P34" s="21"/>
      <c r="Q34" s="21"/>
      <c r="R34" s="21"/>
      <c r="S34" s="21"/>
      <c r="T34" s="21"/>
      <c r="U34" s="27" t="s">
        <v>70</v>
      </c>
      <c r="V34" s="21"/>
      <c r="W34" s="21"/>
      <c r="X34" s="21"/>
      <c r="Y34" s="21"/>
      <c r="Z34" s="21"/>
      <c r="AA34" s="27" t="s">
        <v>70</v>
      </c>
      <c r="AB34" s="22" t="str">
        <f t="shared" si="0"/>
        <v/>
      </c>
    </row>
    <row r="35" spans="1:28" x14ac:dyDescent="0.25">
      <c r="A35" s="6" t="s">
        <v>107</v>
      </c>
      <c r="B35" s="4" t="s">
        <v>108</v>
      </c>
      <c r="C35" s="4" t="s">
        <v>109</v>
      </c>
      <c r="D35" s="27" t="s">
        <v>116</v>
      </c>
      <c r="E35" s="27" t="s">
        <v>116</v>
      </c>
      <c r="F35" s="27" t="s">
        <v>70</v>
      </c>
      <c r="G35" s="27" t="s">
        <v>70</v>
      </c>
      <c r="H35" s="27" t="s">
        <v>70</v>
      </c>
      <c r="I35" s="27" t="s">
        <v>70</v>
      </c>
      <c r="J35" s="27" t="s">
        <v>70</v>
      </c>
      <c r="K35" s="27" t="s">
        <v>70</v>
      </c>
      <c r="L35" s="27" t="s">
        <v>70</v>
      </c>
      <c r="M35" s="27" t="s">
        <v>70</v>
      </c>
      <c r="N35" s="27" t="s">
        <v>70</v>
      </c>
      <c r="O35" s="27" t="s">
        <v>70</v>
      </c>
      <c r="P35" s="27" t="s">
        <v>70</v>
      </c>
      <c r="Q35" s="27" t="s">
        <v>70</v>
      </c>
      <c r="R35" s="27" t="s">
        <v>70</v>
      </c>
      <c r="S35" s="27" t="s">
        <v>70</v>
      </c>
      <c r="T35" s="27" t="s">
        <v>70</v>
      </c>
      <c r="U35" s="27" t="s">
        <v>70</v>
      </c>
      <c r="V35" s="27" t="s">
        <v>70</v>
      </c>
      <c r="W35" s="27" t="s">
        <v>70</v>
      </c>
      <c r="X35" s="27" t="s">
        <v>70</v>
      </c>
      <c r="Y35" s="27" t="s">
        <v>70</v>
      </c>
      <c r="Z35" s="27" t="s">
        <v>70</v>
      </c>
      <c r="AA35" s="27" t="s">
        <v>70</v>
      </c>
      <c r="AB35" s="22" t="str">
        <f t="shared" si="0"/>
        <v/>
      </c>
    </row>
    <row r="36" spans="1:28" x14ac:dyDescent="0.25">
      <c r="A36" s="6" t="s">
        <v>110</v>
      </c>
      <c r="B36" s="4" t="s">
        <v>111</v>
      </c>
      <c r="C36" s="4" t="s">
        <v>112</v>
      </c>
      <c r="D36" s="4"/>
      <c r="E36" s="4"/>
      <c r="F36" s="4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7" t="s">
        <v>70</v>
      </c>
      <c r="Z36" s="27" t="s">
        <v>70</v>
      </c>
      <c r="AA36" s="27" t="s">
        <v>70</v>
      </c>
      <c r="AB36" s="22" t="str">
        <f t="shared" si="0"/>
        <v/>
      </c>
    </row>
    <row r="37" spans="1:28" x14ac:dyDescent="0.25">
      <c r="A37" s="6" t="s">
        <v>113</v>
      </c>
      <c r="B37" s="4" t="s">
        <v>111</v>
      </c>
      <c r="C37" s="4" t="s">
        <v>63</v>
      </c>
      <c r="D37" s="4"/>
      <c r="E37" s="4"/>
      <c r="F37" s="4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7" t="s">
        <v>70</v>
      </c>
      <c r="AB37" s="22" t="str">
        <f t="shared" si="0"/>
        <v/>
      </c>
    </row>
    <row r="38" spans="1:28" x14ac:dyDescent="0.25">
      <c r="A38" s="4"/>
      <c r="B38" s="4"/>
      <c r="C38" s="4"/>
      <c r="D38" s="4"/>
      <c r="E38" s="4"/>
      <c r="F38" s="4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spans="1:28" x14ac:dyDescent="0.25">
      <c r="A39" s="9" t="s">
        <v>114</v>
      </c>
      <c r="B39" s="4"/>
      <c r="C39" s="4"/>
      <c r="D39" s="4" t="str">
        <f ca="1">IF(AND($H$3&lt;&gt;"",EDATE($H$3,0)&lt;=TODAY(),EDATE($H$3,1)&gt;TODAY()),"●","")</f>
        <v/>
      </c>
      <c r="E39" s="4" t="str">
        <f ca="1">IF(AND($H$3&lt;&gt;"",EDATE($H$3,1)&lt;=TODAY(),EDATE($H$3,2)&gt;TODAY()),"●","")</f>
        <v/>
      </c>
      <c r="F39" s="4" t="str">
        <f ca="1">IF(AND($H$3&lt;&gt;"",EDATE($H$3,2)&lt;=TODAY(),EDATE($H$3,3)&gt;TODAY()),"●","")</f>
        <v/>
      </c>
      <c r="G39" s="21" t="str">
        <f ca="1">IF(AND($H$3&lt;&gt;"",EDATE($H$3,3)&lt;=TODAY(),EDATE($H$3,4)&gt;TODAY()),"●","")</f>
        <v>●</v>
      </c>
      <c r="H39" s="21" t="str">
        <f ca="1">IF(AND($H$3&lt;&gt;"",EDATE($H$3,4)&lt;=TODAY(),EDATE($H$3,5)&gt;TODAY()),"●","")</f>
        <v/>
      </c>
      <c r="I39" s="21" t="str">
        <f ca="1">IF(AND($H$3&lt;&gt;"",EDATE($H$3,5)&lt;=TODAY(),EDATE($H$3,6)&gt;TODAY()),"●","")</f>
        <v/>
      </c>
      <c r="J39" s="21" t="str">
        <f ca="1">IF(AND($H$3&lt;&gt;"",EDATE($H$3,6)&lt;=TODAY(),EDATE($H$3,7)&gt;TODAY()),"●","")</f>
        <v/>
      </c>
      <c r="K39" s="21" t="str">
        <f ca="1">IF(AND($H$3&lt;&gt;"",EDATE($H$3,7)&lt;=TODAY(),EDATE($H$3,8)&gt;TODAY()),"●","")</f>
        <v/>
      </c>
      <c r="L39" s="21" t="str">
        <f ca="1">IF(AND($H$3&lt;&gt;"",EDATE($H$3,8)&lt;=TODAY(),EDATE($H$3,9)&gt;TODAY()),"●","")</f>
        <v/>
      </c>
      <c r="M39" s="21" t="str">
        <f ca="1">IF(AND($H$3&lt;&gt;"",EDATE($H$3,9)&lt;=TODAY(),EDATE($H$3,10)&gt;TODAY()),"●","")</f>
        <v/>
      </c>
      <c r="N39" s="21" t="str">
        <f ca="1">IF(AND($H$3&lt;&gt;"",EDATE($H$3,10)&lt;=TODAY(),EDATE($H$3,11)&gt;TODAY()),"●","")</f>
        <v/>
      </c>
      <c r="O39" s="21" t="str">
        <f ca="1">IF(AND($H$3&lt;&gt;"",EDATE($H$3,11)&lt;=TODAY(),EDATE($H$3,12)&gt;TODAY()),"●","")</f>
        <v/>
      </c>
      <c r="P39" s="21" t="str">
        <f ca="1">IF(AND($H$3&lt;&gt;"",EDATE($H$3,12)&lt;=TODAY(),EDATE($H$3,13)&gt;TODAY()),"●","")</f>
        <v/>
      </c>
      <c r="Q39" s="21" t="str">
        <f ca="1">IF(AND($H$3&lt;&gt;"",EDATE($H$3,13)&lt;=TODAY(),EDATE($H$3,14)&gt;TODAY()),"●","")</f>
        <v/>
      </c>
      <c r="R39" s="21" t="str">
        <f ca="1">IF(AND($H$3&lt;&gt;"",EDATE($H$3,14)&lt;=TODAY(),EDATE($H$3,15)&gt;TODAY()),"●","")</f>
        <v/>
      </c>
      <c r="S39" s="21" t="str">
        <f ca="1">IF(AND($H$3&lt;&gt;"",EDATE($H$3,15)&lt;=TODAY(),EDATE($H$3,16)&gt;TODAY()),"●","")</f>
        <v/>
      </c>
      <c r="T39" s="21" t="str">
        <f ca="1">IF(AND($H$3&lt;&gt;"",EDATE($H$3,16)&lt;=TODAY(),EDATE($H$3,17)&gt;TODAY()),"●","")</f>
        <v/>
      </c>
      <c r="U39" s="21" t="str">
        <f ca="1">IF(AND($H$3&lt;&gt;"",EDATE($H$3,17)&lt;=TODAY(),EDATE($H$3,18)&gt;TODAY()),"●","")</f>
        <v/>
      </c>
      <c r="V39" s="21" t="str">
        <f ca="1">IF(AND($H$3&lt;&gt;"",EDATE($H$3,18)&lt;=TODAY(),EDATE($H$3,19)&gt;TODAY()),"●","")</f>
        <v/>
      </c>
      <c r="W39" s="21" t="str">
        <f ca="1">IF(AND($H$3&lt;&gt;"",EDATE($H$3,19)&lt;=TODAY(),EDATE($H$3,20)&gt;TODAY()),"●","")</f>
        <v/>
      </c>
      <c r="X39" s="21" t="str">
        <f ca="1">IF(AND($H$3&lt;&gt;"",EDATE($H$3,20)&lt;=TODAY(),EDATE($H$3,21)&gt;TODAY()),"●","")</f>
        <v/>
      </c>
      <c r="Y39" s="21" t="str">
        <f ca="1">IF(AND($H$3&lt;&gt;"",EDATE($H$3,21)&lt;=TODAY(),EDATE($H$3,22)&gt;TODAY()),"●","")</f>
        <v/>
      </c>
      <c r="Z39" s="21" t="str">
        <f ca="1">IF(AND($H$3&lt;&gt;"",EDATE($H$3,22)&lt;=TODAY(),EDATE($H$3,23)&gt;TODAY()),"●","")</f>
        <v/>
      </c>
      <c r="AA39" s="21" t="str">
        <f ca="1">IF(AND($H$3&lt;&gt;"",EDATE($H$3,23)&lt;=TODAY(),EDATE($H$3,24)&gt;TODAY()),"●","")</f>
        <v/>
      </c>
      <c r="AB39" s="21"/>
    </row>
    <row r="41" spans="1:28" x14ac:dyDescent="0.25">
      <c r="A41" s="32" t="s">
        <v>115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</sheetData>
  <autoFilter ref="A5:AB37" xr:uid="{00000000-0009-0000-0000-000007000000}"/>
  <mergeCells count="2">
    <mergeCell ref="A1:AC1"/>
    <mergeCell ref="A41:AB41"/>
  </mergeCells>
  <phoneticPr fontId="5" type="noConversion"/>
  <dataValidations count="1">
    <dataValidation type="list" allowBlank="1" sqref="D8:AA37" xr:uid="{00000000-0002-0000-0700-000000000000}">
      <formula1>"☐,☑"</formula1>
    </dataValidation>
  </dataValidation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00_INDEX</vt:lpstr>
      <vt:lpstr>BLANK_TEMPLATE</vt:lpstr>
      <vt:lpstr>RT001_林書暄</vt:lpstr>
      <vt:lpstr>RT002_李佳芸</vt:lpstr>
      <vt:lpstr>RT003_陳心怡</vt:lpstr>
      <vt:lpstr>RT004_謝筑元</vt:lpstr>
      <vt:lpstr>RT005_葉家程</vt:lpstr>
      <vt:lpstr>RT006_葉泓昇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李育珊-總院-綜合診療部</cp:lastModifiedBy>
  <dcterms:created xsi:type="dcterms:W3CDTF">2026-09-11T15:00:54Z</dcterms:created>
  <dcterms:modified xsi:type="dcterms:W3CDTF">2026-09-12T09:39:43Z</dcterms:modified>
</cp:coreProperties>
</file>